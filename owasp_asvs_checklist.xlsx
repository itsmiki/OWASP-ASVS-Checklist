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updateLinks="always"/>
  <mc:AlternateContent xmlns:mc="http://schemas.openxmlformats.org/markup-compatibility/2006">
    <mc:Choice Requires="x15">
      <x15ac:absPath xmlns:x15ac="http://schemas.microsoft.com/office/spreadsheetml/2010/11/ac" url="C:\Users\Admin\Downloads\"/>
    </mc:Choice>
  </mc:AlternateContent>
  <xr:revisionPtr revIDLastSave="0" documentId="13_ncr:1_{C83D7DEF-636C-4526-A3AB-C201AE989E97}" xr6:coauthVersionLast="47" xr6:coauthVersionMax="47" xr10:uidLastSave="{00000000-0000-0000-0000-000000000000}"/>
  <bookViews>
    <workbookView xWindow="-120" yWindow="-120" windowWidth="51840" windowHeight="21120" xr2:uid="{00000000-000D-0000-FFFF-FFFF00000000}"/>
  </bookViews>
  <sheets>
    <sheet name="STATISTICS" sheetId="1" r:id="rId1"/>
    <sheet name="V1. Encoding and Sanitization" sheetId="2" r:id="rId2"/>
    <sheet name="V2. Validation and Business Log" sheetId="4" r:id="rId3"/>
    <sheet name="V3. Web Frontend Security" sheetId="5" r:id="rId4"/>
    <sheet name="V4. API and Web Service" sheetId="6" r:id="rId5"/>
    <sheet name="V5. File Handling" sheetId="7" r:id="rId6"/>
    <sheet name="V6. Authentication" sheetId="8" r:id="rId7"/>
    <sheet name="V7. Session Management" sheetId="9" r:id="rId8"/>
    <sheet name="V8. Authorization" sheetId="10" r:id="rId9"/>
    <sheet name="V9. Self-contained Tokens" sheetId="11" r:id="rId10"/>
    <sheet name="V10. OAuth and OIDC" sheetId="12" r:id="rId11"/>
    <sheet name="V11. Cryptography" sheetId="13" r:id="rId12"/>
    <sheet name="V12. Secure Communication" sheetId="14" r:id="rId13"/>
    <sheet name="V13. Configuration" sheetId="15" r:id="rId14"/>
    <sheet name="V14. Data Protection" sheetId="16" r:id="rId15"/>
    <sheet name="V15. Secure Coding and Architec" sheetId="17" r:id="rId16"/>
    <sheet name="V16. Security Logging and Error" sheetId="18" r:id="rId17"/>
    <sheet name="V17. WebRTC" sheetId="19" r:id="rId18"/>
    <sheet name="About" sheetId="20"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 l="1"/>
  <c r="C11" i="1"/>
  <c r="C19" i="1"/>
  <c r="D10" i="1"/>
  <c r="D18" i="1"/>
  <c r="C4" i="1"/>
  <c r="C12" i="1"/>
  <c r="C3" i="1"/>
  <c r="D11" i="1"/>
  <c r="D19" i="1"/>
  <c r="C5" i="1"/>
  <c r="C13" i="1"/>
  <c r="D4" i="1"/>
  <c r="D12" i="1"/>
  <c r="C6" i="1"/>
  <c r="C14" i="1"/>
  <c r="D5" i="1"/>
  <c r="D13" i="1"/>
  <c r="C7" i="1"/>
  <c r="C15" i="1"/>
  <c r="D6" i="1"/>
  <c r="D14" i="1"/>
  <c r="C8" i="1"/>
  <c r="C16" i="1"/>
  <c r="D7" i="1"/>
  <c r="D15" i="1"/>
  <c r="C9" i="1"/>
  <c r="C17" i="1"/>
  <c r="D8" i="1"/>
  <c r="D16" i="1"/>
  <c r="C10" i="1"/>
  <c r="C18" i="1"/>
  <c r="D9" i="1"/>
  <c r="D17" i="1"/>
  <c r="E17" i="1" l="1"/>
  <c r="E9" i="1"/>
  <c r="E16" i="1"/>
  <c r="E8" i="1"/>
  <c r="E15" i="1"/>
  <c r="E7" i="1"/>
  <c r="E14" i="1"/>
  <c r="E6" i="1"/>
  <c r="E13" i="1"/>
  <c r="E5" i="1"/>
  <c r="E12" i="1"/>
  <c r="E4" i="1"/>
  <c r="E19" i="1"/>
  <c r="E11" i="1"/>
  <c r="E18" i="1"/>
  <c r="E10" i="1"/>
  <c r="E3" i="1"/>
</calcChain>
</file>

<file path=xl/sharedStrings.xml><?xml version="1.0" encoding="utf-8"?>
<sst xmlns="http://schemas.openxmlformats.org/spreadsheetml/2006/main" count="906" uniqueCount="825">
  <si>
    <t>Category</t>
  </si>
  <si>
    <t>Passed</t>
  </si>
  <si>
    <t>Total</t>
  </si>
  <si>
    <t>Validity</t>
  </si>
  <si>
    <t>Settings</t>
  </si>
  <si>
    <t>Encoding and Sanitization</t>
  </si>
  <si>
    <t>V1. Encoding and Sanitization</t>
  </si>
  <si>
    <t>Level 1</t>
  </si>
  <si>
    <t>Level 2</t>
  </si>
  <si>
    <t>Level 3</t>
  </si>
  <si>
    <t>Validation and Business Logic</t>
  </si>
  <si>
    <t>V2. Validation and Business Log</t>
  </si>
  <si>
    <t>Web Frontend Security</t>
  </si>
  <si>
    <t>V3. Web Frontend Security</t>
  </si>
  <si>
    <t>API and Web Service</t>
  </si>
  <si>
    <t>V4. API and Web Service</t>
  </si>
  <si>
    <t>File Handling</t>
  </si>
  <si>
    <t>V5. File Handling</t>
  </si>
  <si>
    <t>Authentication</t>
  </si>
  <si>
    <t>V6. Authentication</t>
  </si>
  <si>
    <t>Session Management</t>
  </si>
  <si>
    <t>V7. Session Management</t>
  </si>
  <si>
    <t>Authorization</t>
  </si>
  <si>
    <t>V8. Authorization</t>
  </si>
  <si>
    <t>Self-contained Tokens</t>
  </si>
  <si>
    <t>V9. Self-contained Tokens</t>
  </si>
  <si>
    <t>OAuth and OIDC</t>
  </si>
  <si>
    <t>V10. OAuth and OIDC</t>
  </si>
  <si>
    <t>Cryptography</t>
  </si>
  <si>
    <t>V11. Cryptography</t>
  </si>
  <si>
    <t>Secure Communication</t>
  </si>
  <si>
    <t>V12. Secure Communication</t>
  </si>
  <si>
    <t>Configuration</t>
  </si>
  <si>
    <t>V13. Configuration</t>
  </si>
  <si>
    <t>Data Protection</t>
  </si>
  <si>
    <t>V14. Data Protection</t>
  </si>
  <si>
    <t>Secure Coding and Architecture</t>
  </si>
  <si>
    <t>V15. Secure Coding and Architec</t>
  </si>
  <si>
    <t>Security Logging and Error Handling</t>
  </si>
  <si>
    <t>V16. Security Logging and Error</t>
  </si>
  <si>
    <t>WebRTC</t>
  </si>
  <si>
    <t>V17. WebRTC</t>
  </si>
  <si>
    <t>SECTION</t>
  </si>
  <si>
    <t>REQUIREMENT ID</t>
  </si>
  <si>
    <t>DESCRIPTION</t>
  </si>
  <si>
    <t>LEVEL</t>
  </si>
  <si>
    <t>STATUS</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</si>
  <si>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</si>
  <si>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</si>
  <si>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</si>
  <si>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V1.1.2</t>
  </si>
  <si>
    <t>Verify that the application performs output encoding and escaping either as a final step before being used by the interpreter for which it is intended or by the interpreter itself.</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</si>
  <si>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</si>
  <si>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</si>
  <si>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</si>
  <si>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</si>
  <si>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</si>
  <si>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</si>
  <si>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</si>
  <si>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</si>
  <si>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</si>
  <si>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</si>
  <si>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</si>
  <si>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</si>
  <si>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</si>
  <si>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</si>
  <si>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</si>
  <si>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</si>
  <si>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</si>
  <si>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</si>
  <si>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</si>
  <si>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</si>
  <si>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</si>
  <si>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</si>
  <si>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</si>
  <si>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</si>
  <si>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</si>
  <si>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</si>
  <si>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</si>
  <si>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</si>
  <si>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</si>
  <si>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</si>
  <si>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</si>
  <si>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</si>
  <si>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</si>
  <si>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</si>
  <si>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</si>
  <si>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</si>
  <si>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</si>
  <si>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</si>
  <si>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</si>
  <si>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</si>
  <si>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</si>
  <si>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</si>
  <si>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</si>
  <si>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</si>
  <si>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</si>
  <si>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</si>
  <si>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</si>
  <si>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</si>
  <si>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</si>
  <si>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</si>
  <si>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</si>
  <si>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</si>
  <si>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</si>
  <si>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</si>
  <si>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</si>
  <si>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</si>
  <si>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</si>
  <si>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</si>
  <si>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</si>
  <si>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</si>
  <si>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</si>
  <si>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</si>
  <si>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</si>
  <si>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</si>
  <si>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</si>
  <si>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</si>
  <si>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</si>
  <si>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</si>
  <si>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</si>
  <si>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</si>
  <si>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</si>
  <si>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</si>
  <si>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</si>
  <si>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</si>
  <si>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</si>
  <si>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</si>
  <si>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</si>
  <si>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</si>
  <si>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</si>
  <si>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</si>
  <si>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</si>
  <si>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</si>
  <si>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</si>
  <si>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</si>
  <si>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</si>
  <si>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</si>
  <si>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</si>
  <si>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</si>
  <si>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</si>
  <si>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</si>
  <si>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</si>
  <si>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</si>
  <si>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</si>
  <si>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</si>
  <si>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</si>
  <si>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</si>
  <si>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</si>
  <si>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</si>
  <si>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</si>
  <si>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</si>
  <si>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</si>
  <si>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</si>
  <si>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</si>
  <si>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</si>
  <si>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</si>
  <si>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</si>
  <si>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</si>
  <si>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</si>
  <si>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</si>
  <si>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</si>
  <si>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</si>
  <si>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</si>
  <si>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</si>
  <si>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</si>
  <si>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</si>
  <si>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</si>
  <si>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</si>
  <si>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</si>
  <si>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</si>
  <si>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</si>
  <si>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</si>
  <si>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</si>
  <si>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</si>
  <si>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</si>
  <si>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</si>
  <si>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</si>
  <si>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</si>
  <si>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</si>
  <si>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</si>
  <si>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</si>
  <si>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</si>
  <si>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</si>
  <si>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</si>
  <si>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</si>
  <si>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</si>
  <si>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</si>
  <si>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</si>
  <si>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</si>
  <si>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</si>
  <si>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</si>
  <si>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</si>
  <si>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</si>
  <si>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</si>
  <si>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</si>
  <si>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</si>
  <si>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</si>
  <si>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</si>
  <si>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</si>
  <si>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</si>
  <si>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</si>
  <si>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</si>
  <si>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</si>
  <si>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</si>
  <si>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</si>
  <si>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</si>
  <si>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</si>
  <si>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</si>
  <si>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</si>
  <si>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</si>
  <si>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</si>
  <si>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</si>
  <si>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</si>
  <si>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</si>
  <si>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</si>
  <si>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</si>
  <si>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</si>
  <si>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</si>
  <si>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</si>
  <si>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</si>
  <si>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</si>
  <si>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</si>
  <si>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</si>
  <si>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</si>
  <si>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</si>
  <si>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</si>
  <si>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</si>
  <si>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</si>
  <si>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</si>
  <si>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</si>
  <si>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</si>
  <si>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</si>
  <si>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</si>
  <si>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</si>
  <si>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</si>
  <si>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</si>
  <si>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</si>
  <si>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</si>
  <si>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</si>
  <si>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</si>
  <si>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</si>
  <si>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</si>
  <si>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</si>
  <si>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</si>
  <si>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</si>
  <si>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</si>
  <si>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</si>
  <si>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</si>
  <si>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</si>
  <si>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</si>
  <si>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</si>
  <si>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</si>
  <si>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</si>
  <si>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</si>
  <si>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</si>
  <si>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</si>
  <si>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</si>
  <si>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</si>
  <si>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</si>
  <si>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</si>
  <si>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</si>
  <si>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</si>
  <si>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</si>
  <si>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</si>
  <si>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</si>
  <si>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</si>
  <si>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</si>
  <si>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</si>
  <si>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</si>
  <si>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</si>
  <si>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</si>
  <si>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</si>
  <si>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</si>
  <si>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</si>
  <si>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</si>
  <si>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</si>
  <si>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</si>
  <si>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</si>
  <si>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</si>
  <si>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</si>
  <si>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</si>
  <si>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</si>
  <si>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</si>
  <si>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</si>
  <si>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</si>
  <si>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</si>
  <si>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</si>
  <si>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</si>
  <si>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</si>
  <si>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</si>
  <si>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</si>
  <si>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</si>
  <si>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</si>
  <si>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</si>
  <si>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</si>
  <si>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</si>
  <si>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</si>
  <si>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</si>
  <si>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</si>
  <si>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</si>
  <si>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</si>
  <si>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</si>
  <si>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</si>
  <si>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</si>
  <si>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</si>
  <si>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</si>
  <si>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</si>
  <si>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</si>
  <si>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</si>
  <si>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</si>
  <si>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</si>
  <si>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</si>
  <si>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</si>
  <si>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</si>
  <si>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</si>
  <si>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</si>
  <si>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</si>
  <si>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</si>
  <si>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</si>
  <si>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</si>
  <si>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</si>
  <si>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</si>
  <si>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</si>
  <si>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</si>
  <si>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</si>
  <si>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</si>
  <si>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</si>
  <si>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</si>
  <si>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</si>
  <si>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</si>
  <si>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</si>
  <si>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</si>
  <si>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</si>
  <si>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</si>
  <si>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</si>
  <si>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</si>
  <si>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</si>
  <si>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</si>
  <si>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</si>
  <si>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</si>
  <si>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</si>
  <si>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</si>
  <si>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</si>
  <si>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</si>
  <si>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</si>
  <si>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</si>
  <si>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</si>
  <si>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</si>
  <si>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</si>
  <si>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</si>
  <si>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</si>
  <si>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</si>
  <si>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</si>
  <si>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</si>
  <si>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</si>
  <si>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</si>
  <si>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</si>
  <si>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</si>
  <si>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</si>
  <si>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</si>
  <si>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</si>
  <si>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</si>
  <si>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</si>
  <si>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</si>
  <si>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</si>
  <si>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</si>
  <si>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</si>
  <si>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</si>
  <si>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</si>
  <si>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</si>
  <si>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</si>
  <si>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</si>
  <si>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</si>
  <si>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</si>
  <si>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</si>
  <si>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</si>
  <si>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</si>
  <si>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</si>
  <si>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</si>
  <si>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</si>
  <si>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</si>
  <si>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</si>
  <si>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</si>
  <si>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</si>
  <si>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</si>
  <si>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</si>
  <si>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</si>
  <si>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</si>
  <si>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</si>
  <si>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</si>
  <si>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</si>
  <si>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</si>
  <si>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</si>
  <si>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</si>
  <si>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</si>
  <si>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</si>
  <si>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</si>
  <si>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</si>
  <si>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</si>
  <si>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</si>
  <si>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</si>
  <si>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</si>
  <si>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</si>
  <si>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</si>
  <si>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</si>
  <si>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</si>
  <si>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</si>
  <si>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</si>
  <si>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</si>
  <si>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</si>
  <si>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</si>
  <si>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</si>
  <si>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</si>
  <si>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</si>
  <si>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</si>
  <si>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</si>
  <si>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</si>
  <si>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</si>
  <si>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</si>
  <si>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</si>
  <si>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</si>
  <si>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</si>
  <si>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</si>
  <si>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</si>
  <si>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</si>
  <si>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</si>
  <si>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</si>
  <si>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</si>
  <si>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</si>
  <si>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</si>
  <si>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</si>
  <si>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</si>
  <si>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</si>
  <si>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</si>
  <si>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</si>
  <si>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</si>
  <si>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</si>
  <si>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</si>
  <si>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</si>
  <si>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</si>
  <si>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</si>
  <si>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</si>
  <si>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</si>
  <si>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</si>
  <si>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</si>
  <si>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</si>
  <si>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</si>
  <si>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</si>
  <si>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</si>
  <si>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</si>
  <si>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</si>
  <si>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</si>
  <si>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</si>
  <si>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</si>
  <si>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</si>
  <si>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</si>
  <si>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</si>
  <si>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</si>
  <si>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</si>
  <si>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</si>
  <si>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</si>
  <si>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</si>
  <si>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</si>
  <si>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</si>
  <si>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</si>
  <si>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</si>
  <si>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</si>
  <si>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</si>
  <si>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</si>
  <si>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</si>
  <si>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</si>
  <si>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</si>
  <si>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</si>
  <si>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</si>
  <si>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</si>
  <si>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</si>
  <si>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</si>
  <si>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</si>
  <si>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</si>
  <si>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</si>
  <si>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</si>
  <si>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</si>
  <si>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</si>
  <si>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</si>
  <si>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</si>
  <si>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</si>
  <si>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</si>
  <si>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</si>
  <si>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</si>
  <si>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</si>
  <si>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</si>
  <si>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</si>
  <si>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</si>
  <si>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</si>
  <si>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</si>
  <si>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</si>
  <si>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</si>
  <si>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</si>
  <si>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</si>
  <si>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</si>
  <si>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</si>
  <si>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</si>
  <si>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</si>
  <si>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</si>
  <si>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</si>
  <si>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</si>
  <si>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</si>
  <si>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</si>
  <si>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</si>
  <si>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</si>
  <si>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</si>
  <si>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</si>
  <si>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</si>
  <si>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</si>
  <si>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</si>
  <si>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</si>
  <si>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</si>
  <si>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</si>
  <si>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</si>
  <si>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</si>
  <si>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</si>
  <si>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</si>
  <si>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</si>
  <si>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</si>
  <si>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</si>
  <si>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</si>
  <si>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</si>
  <si>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</si>
  <si>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</si>
  <si>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</si>
  <si>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</si>
  <si>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</si>
  <si>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</si>
  <si>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</si>
  <si>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</si>
  <si>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</si>
  <si>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</si>
  <si>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</si>
  <si>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</si>
  <si>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</si>
  <si>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</si>
  <si>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</si>
  <si>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</si>
  <si>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</si>
  <si>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</si>
  <si>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</si>
  <si>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</si>
  <si>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</si>
  <si>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</si>
  <si>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</si>
  <si>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</si>
  <si>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</si>
  <si>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</si>
  <si>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</si>
  <si>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</si>
  <si>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</si>
  <si>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</si>
  <si>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</si>
  <si>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</si>
  <si>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</si>
  <si>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</si>
  <si>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</si>
  <si>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</si>
  <si>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</si>
  <si>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</si>
  <si>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</si>
  <si>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</si>
  <si>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</si>
  <si>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</si>
  <si>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</si>
  <si>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</si>
  <si>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</si>
  <si>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</si>
  <si>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</si>
  <si>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</si>
  <si>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</si>
  <si>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</si>
  <si>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</si>
  <si>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</si>
  <si>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</si>
  <si>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</si>
  <si>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</si>
  <si>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</si>
  <si>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</si>
  <si>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</si>
  <si>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</si>
  <si>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</si>
  <si>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</si>
  <si>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</si>
  <si>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</si>
  <si>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</si>
  <si>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</si>
  <si>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</si>
  <si>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</si>
  <si>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</si>
  <si>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</si>
  <si>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</si>
  <si>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</si>
  <si>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</si>
  <si>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</si>
  <si>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</si>
  <si>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</si>
  <si>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</si>
  <si>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</si>
  <si>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</si>
  <si>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</si>
  <si>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</si>
  <si>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</si>
  <si>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</si>
  <si>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</si>
  <si>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</si>
  <si>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</si>
  <si>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</si>
  <si>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</si>
  <si>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</si>
  <si>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</si>
  <si>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</si>
  <si>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</si>
  <si>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</si>
  <si>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</si>
  <si>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</si>
  <si>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</si>
  <si>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</si>
  <si>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</si>
  <si>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</si>
  <si>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</si>
  <si>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</si>
  <si>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</si>
  <si>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</si>
  <si>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</si>
  <si>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</si>
  <si>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</si>
  <si>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</si>
  <si>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</si>
  <si>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</si>
  <si>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</si>
  <si>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</si>
  <si>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</si>
  <si>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</si>
  <si>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</si>
  <si>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</si>
  <si>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</si>
  <si>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</si>
  <si>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</si>
  <si>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</si>
  <si>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</si>
  <si>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</si>
  <si>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</si>
  <si>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</si>
  <si>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</si>
  <si>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</si>
  <si>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</si>
  <si>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</si>
  <si>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</si>
  <si>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</si>
  <si>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</si>
  <si>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</si>
  <si>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</si>
  <si>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</si>
  <si>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</si>
  <si>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</si>
  <si>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</si>
  <si>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</si>
  <si>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</si>
  <si>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</si>
  <si>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</si>
  <si>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</si>
  <si>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</si>
  <si>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</si>
  <si>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</si>
  <si>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</si>
  <si>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</si>
  <si>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</si>
  <si>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</si>
  <si>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</si>
  <si>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</si>
  <si>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</si>
  <si>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</si>
  <si>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</si>
  <si>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</si>
  <si>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</si>
  <si>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</si>
  <si>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</si>
  <si>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</si>
  <si>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</si>
  <si>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</si>
  <si>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</si>
  <si>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</si>
  <si>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</si>
  <si>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</si>
  <si>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</si>
  <si>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</si>
  <si>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</si>
  <si>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</si>
  <si>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</si>
  <si>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</si>
  <si>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</si>
  <si>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</si>
  <si>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</si>
  <si>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</si>
  <si>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</si>
  <si>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</si>
  <si>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</si>
  <si>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</si>
  <si>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</si>
  <si>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</si>
  <si>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</si>
  <si>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</si>
  <si>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</si>
  <si>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</si>
  <si>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</si>
  <si>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</si>
  <si>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</si>
  <si>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</si>
  <si>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</si>
  <si>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</si>
  <si>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</si>
  <si>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</si>
  <si>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</si>
  <si>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</si>
  <si>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</si>
  <si>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</si>
  <si>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</si>
  <si>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</si>
  <si>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</si>
  <si>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</si>
  <si>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</si>
  <si>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</si>
  <si>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</si>
  <si>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</si>
  <si>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</si>
  <si>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</si>
  <si>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</si>
  <si>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</si>
  <si>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</si>
  <si>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</si>
  <si>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</si>
  <si>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</si>
  <si>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</si>
  <si>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</si>
  <si>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</si>
  <si>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</si>
  <si>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</si>
  <si>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</si>
  <si>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</si>
  <si>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</si>
  <si>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</si>
  <si>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</si>
  <si>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</si>
  <si>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</si>
  <si>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</si>
  <si>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</si>
  <si>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</si>
  <si>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</si>
  <si>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</si>
  <si>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</si>
  <si>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</si>
  <si>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</si>
  <si>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</si>
  <si>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</si>
  <si>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</si>
  <si>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</si>
  <si>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</si>
  <si>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</si>
  <si>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</si>
  <si>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</si>
  <si>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</si>
  <si>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</si>
  <si>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</si>
  <si>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</si>
  <si>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</si>
  <si>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</si>
  <si>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</si>
  <si>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</si>
  <si>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</si>
  <si>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</si>
  <si>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</si>
  <si>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</si>
  <si>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</si>
  <si>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</si>
  <si>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</si>
  <si>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</si>
  <si>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</si>
  <si>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</si>
  <si>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</si>
  <si>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</si>
  <si>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</si>
  <si>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</si>
  <si>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</si>
  <si>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</si>
  <si>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</si>
  <si>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</si>
  <si>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</si>
  <si>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</si>
  <si>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</si>
  <si>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</si>
  <si>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</si>
  <si>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</si>
  <si>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</si>
  <si>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</si>
  <si>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</si>
  <si>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</si>
  <si>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</si>
  <si>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</si>
  <si>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</si>
  <si>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</si>
  <si>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</si>
  <si>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</si>
  <si>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</si>
  <si>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</si>
  <si>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</si>
  <si>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</si>
  <si>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</si>
  <si>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</si>
  <si>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</si>
  <si>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Tool Name</t>
  </si>
  <si>
    <t>OWASP ASVS Checklist</t>
  </si>
  <si>
    <t>Version</t>
  </si>
  <si>
    <t>ASVS-5.0.0-v1.0</t>
  </si>
  <si>
    <t>Based on</t>
  </si>
  <si>
    <t>OWASP ASVS 5.0.0</t>
  </si>
  <si>
    <t>Release Date</t>
  </si>
  <si>
    <t>Author</t>
  </si>
  <si>
    <t>Mikołaj Kozok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</si>
</sst>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6" formatCode="[$-F800]dddd\,\ mmmm\ dd\,\ yyyy"/>
  </numFmts>
  <fonts count="11" x14ac:knownFonts="1">
    <font>
      <sz val="11"/>
      <color theme="1"/>
      <name val="Aptos Narrow"/>
      <family val="2"/>
      <scheme val="minor"/>
    </font>
    <font>
      <b/>
      <sz val="11"/>
      <color rgb="FF000000"/>
      <name val="Aptos Narrow"/>
      <family val="2"/>
    </font>
    <font>
      <sz val="11"/>
      <color rgb="FF000000"/>
      <name val="Aptos Narrow"/>
      <family val="2"/>
    </font>
    <font>
      <sz val="14"/>
      <color theme="1"/>
      <name val="Aptos Narrow"/>
      <family val="2"/>
      <scheme val="minor"/>
    </font>
    <font>
      <sz val="14"/>
      <color theme="1"/>
      <name val="Aptos Display"/>
      <scheme val="major"/>
    </font>
    <font>
      <sz val="11"/>
      <color theme="1"/>
      <name val="Aptos Display"/>
      <scheme val="major"/>
    </font>
    <font>
      <b/>
      <sz val="11"/>
      <color rgb="FF000000"/>
      <name val="Aptos Display"/>
      <scheme val="major"/>
    </font>
    <font>
      <sz val="11"/>
      <color rgb="FF000000"/>
      <name val="Aptos Display"/>
      <scheme val="major"/>
    </font>
    <font>
      <sz val="11"/>
      <color theme="1"/>
      <name val="Aptos Narrow"/>
      <scheme val="minor"/>
    </font>
    <font>
      <b/>
      <sz val="12"/>
      <color theme="1"/>
      <name val="Aptos Display"/>
      <family val="2"/>
      <scheme val="major"/>
    </font>
    <font>
      <sz val="12"/>
      <color theme="1"/>
      <name val="Aptos Display"/>
      <family val="2"/>
      <scheme val="major"/>
    </font>
  </fonts>
  <fills count="5">
    <fill>
      <patternFill patternType="none"/>
    </fill>
    <fill>
      <patternFill patternType="gray125"/>
    </fill>
    <fill>
      <patternFill patternType="solid">
        <fgColor rgb="FFF2F2F2"/>
        <bgColor rgb="FF000000"/>
      </patternFill>
    </fill>
    <fill>
      <patternFill patternType="solid">
        <fgColor theme="2"/>
        <bgColor indexed="64"/>
      </patternFill>
    </fill>
    <fill>
      <patternFill patternType="solid">
        <fgColor rgb="FFE8E8E8"/>
        <bgColor indexed="64"/>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6">
    <xf numFmtId="0" fontId="0" fillId="0" borderId="0" xfId="0"/>
    <xf numFmtId="0" fontId="0" fillId="0" borderId="0" xfId="0" applyAlignment="1">
      <alignment horizontal="center" vertical="center" wrapText="1"/>
    </xf>
    <xf numFmtId="0" fontId="3" fillId="0" borderId="0" xfId="0" applyFont="1" applyAlignment="1">
      <alignment horizontal="center" vertical="center" wrapText="1"/>
    </xf>
    <xf numFmtId="0" fontId="0" fillId="0" borderId="0" xfId="0" applyAlignment="1">
      <alignment horizontal="left" vertical="center" wrapText="1"/>
    </xf>
    <xf numFmtId="0" fontId="0" fillId="0" borderId="0" xfId="0" applyAlignment="1">
      <alignment vertical="center" wrapText="1"/>
    </xf>
    <xf numFmtId="0" fontId="4" fillId="3" borderId="0" xfId="0" applyFont="1" applyFill="1" applyAlignment="1">
      <alignment horizontal="center"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7" fillId="2" borderId="1" xfId="0" applyFont="1" applyFill="1" applyBorder="1" applyAlignment="1">
      <alignment horizontal="center" vertical="center"/>
    </xf>
    <xf numFmtId="0" fontId="7" fillId="0" borderId="5" xfId="0" applyFont="1" applyBorder="1" applyAlignment="1">
      <alignment horizontal="center" vertical="center"/>
      <extLst>
        <ext xmlns:xfpb="http://schemas.microsoft.com/office/spreadsheetml/2022/featurepropertybag" uri="{C7286773-470A-42A8-94C5-96B5CB345126}">
          <xfpb:xfComplement i="0"/>
        </ext>
      </extLst>
    </xf>
    <xf numFmtId="0" fontId="7" fillId="0" borderId="6" xfId="0" applyFont="1" applyBorder="1" applyAlignment="1">
      <alignment horizontal="center" vertical="center"/>
      <extLst>
        <ext xmlns:xfpb="http://schemas.microsoft.com/office/spreadsheetml/2022/featurepropertybag" uri="{C7286773-470A-42A8-94C5-96B5CB345126}">
          <xfpb:xfComplement i="0"/>
        </ext>
      </extLst>
    </xf>
    <xf numFmtId="0" fontId="7" fillId="0" borderId="7" xfId="0" applyFont="1" applyBorder="1" applyAlignment="1">
      <alignment horizontal="center" vertical="center"/>
      <extLst>
        <ext xmlns:xfpb="http://schemas.microsoft.com/office/spreadsheetml/2022/featurepropertybag" uri="{C7286773-470A-42A8-94C5-96B5CB345126}">
          <xfpb:xfComplement i="0"/>
        </ext>
      </extLst>
    </xf>
    <xf numFmtId="0" fontId="5" fillId="0" borderId="0" xfId="0" applyFont="1" applyAlignment="1">
      <alignment vertical="center" wrapText="1"/>
    </xf>
    <xf numFmtId="0" fontId="8" fillId="0" borderId="0" xfId="0" applyFont="1" applyAlignment="1">
      <alignment horizontal="center" vertical="center" wrapText="1"/>
    </xf>
    <xf numFmtId="0" fontId="4" fillId="0" borderId="0" xfId="0" applyFont="1" applyAlignment="1">
      <alignment horizontal="center" vertical="center" wrapText="1"/>
    </xf>
    <xf numFmtId="0" fontId="8" fillId="0" borderId="0" xfId="0" applyFont="1" applyAlignment="1">
      <alignment vertical="center" wrapText="1"/>
    </xf>
    <xf numFmtId="0" fontId="1" fillId="2" borderId="1" xfId="0" applyFont="1" applyFill="1" applyBorder="1" applyAlignment="1">
      <alignment horizontal="center" vertical="center"/>
    </xf>
    <xf numFmtId="0" fontId="2" fillId="0" borderId="0" xfId="0" applyFont="1" applyAlignment="1">
      <alignment horizontal="center" vertical="center" wrapText="1"/>
    </xf>
    <xf numFmtId="0" fontId="1" fillId="3" borderId="1" xfId="0" applyFont="1" applyFill="1" applyBorder="1" applyAlignment="1">
      <alignment horizontal="center" vertical="center"/>
    </xf>
    <xf numFmtId="0" fontId="2" fillId="3" borderId="9" xfId="0" applyFont="1" applyFill="1" applyBorder="1" applyAlignment="1">
      <alignment horizontal="center" vertical="center" wrapText="1"/>
    </xf>
    <xf numFmtId="0" fontId="2" fillId="3" borderId="1" xfId="0" applyFont="1" applyFill="1" applyBorder="1" applyAlignment="1">
      <alignment horizontal="center" vertical="center"/>
    </xf>
    <xf numFmtId="0" fontId="2" fillId="3" borderId="8" xfId="0" applyFont="1" applyFill="1" applyBorder="1" applyAlignment="1">
      <alignment horizontal="center" vertical="center"/>
    </xf>
    <xf numFmtId="0" fontId="1" fillId="2" borderId="4" xfId="0" applyFont="1" applyFill="1" applyBorder="1" applyAlignment="1">
      <alignment horizontal="center" vertical="center"/>
    </xf>
    <xf numFmtId="0" fontId="5" fillId="0" borderId="0" xfId="0" applyFont="1" applyAlignment="1">
      <alignment vertical="center"/>
    </xf>
    <xf numFmtId="0" fontId="5" fillId="3" borderId="1" xfId="0" applyFont="1" applyFill="1" applyBorder="1" applyAlignment="1">
      <alignment horizontal="center" vertical="center"/>
    </xf>
    <xf numFmtId="0" fontId="2" fillId="0" borderId="6" xfId="0" applyFont="1" applyBorder="1" applyAlignment="1">
      <alignment horizontal="center" vertical="center" wrapText="1"/>
    </xf>
    <xf numFmtId="164" fontId="2" fillId="0" borderId="10" xfId="0" applyNumberFormat="1" applyFont="1" applyBorder="1" applyAlignment="1">
      <alignment horizontal="center" vertical="center" wrapText="1"/>
    </xf>
    <xf numFmtId="164" fontId="2" fillId="0" borderId="7" xfId="0" applyNumberFormat="1" applyFont="1" applyBorder="1" applyAlignment="1">
      <alignment horizontal="center" vertical="center" wrapText="1"/>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2" borderId="4" xfId="0" applyFont="1" applyFill="1" applyBorder="1" applyAlignment="1">
      <alignment horizontal="center" vertical="center"/>
    </xf>
    <xf numFmtId="0" fontId="5" fillId="0" borderId="0" xfId="0" applyFont="1" applyAlignment="1">
      <alignment horizontal="center" vertical="center" wrapText="1"/>
    </xf>
    <xf numFmtId="0" fontId="7" fillId="0" borderId="0" xfId="0" applyFont="1" applyAlignment="1">
      <alignment horizontal="center" vertical="center"/>
    </xf>
    <xf numFmtId="0" fontId="9" fillId="4" borderId="11" xfId="0" applyFont="1" applyFill="1" applyBorder="1" applyAlignment="1">
      <alignment horizontal="left" vertical="center"/>
    </xf>
    <xf numFmtId="0" fontId="10" fillId="0" borderId="11" xfId="0" applyFont="1" applyBorder="1" applyAlignment="1">
      <alignment horizontal="left" vertical="center"/>
    </xf>
    <xf numFmtId="166" fontId="10" fillId="0" borderId="11" xfId="0" applyNumberFormat="1" applyFont="1" applyBorder="1" applyAlignment="1">
      <alignment horizontal="left" vertical="center"/>
    </xf>
  </cellXfs>
  <cellStyles count="1">
    <cellStyle name="Normalny" xfId="0" builtinId="0"/>
  </cellStyles>
  <dxfs count="48">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
      <font>
        <strike/>
      </font>
    </dxf>
  </dxfs>
  <tableStyles count="0" defaultTableStyle="TableStyleMedium2" defaultPivotStyle="PivotStyleMedium9"/>
  <colors>
    <mruColors>
      <color rgb="FFE8E8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l-PL"/>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marker"/>
        <c:varyColors val="0"/>
        <c:ser>
          <c:idx val="0"/>
          <c:order val="0"/>
          <c:tx>
            <c:strRef>
              <c:f>STATISTICS!$E$2</c:f>
              <c:strCache>
                <c:ptCount val="1"/>
                <c:pt idx="0">
                  <c:v>Validity</c:v>
                </c:pt>
              </c:strCache>
            </c:strRef>
          </c:tx>
          <c:spPr>
            <a:ln w="28575" cap="rnd">
              <a:solidFill>
                <a:srgbClr val="637CEF"/>
              </a:solidFill>
              <a:round/>
            </a:ln>
            <a:effectLst/>
          </c:spPr>
          <c:marker>
            <c:symbol val="none"/>
          </c:marker>
          <c:cat>
            <c:strRef>
              <c:f>STATISTICS!$B$3:$B$19</c:f>
              <c:strCache>
                <c:ptCount val="17"/>
                <c:pt idx="0">
                  <c:v>Encoding and Sanitization</c:v>
                </c:pt>
                <c:pt idx="1">
                  <c:v>Validation and Business Logic</c:v>
                </c:pt>
                <c:pt idx="2">
                  <c:v>Web Frontend Security</c:v>
                </c:pt>
                <c:pt idx="3">
                  <c:v>API and Web Service</c:v>
                </c:pt>
                <c:pt idx="4">
                  <c:v>File Handling</c:v>
                </c:pt>
                <c:pt idx="5">
                  <c:v>Authentication</c:v>
                </c:pt>
                <c:pt idx="6">
                  <c:v>Session Management</c:v>
                </c:pt>
                <c:pt idx="7">
                  <c:v>Authorization</c:v>
                </c:pt>
                <c:pt idx="8">
                  <c:v>Self-contained Tokens</c:v>
                </c:pt>
                <c:pt idx="9">
                  <c:v>OAuth and OIDC</c:v>
                </c:pt>
                <c:pt idx="10">
                  <c:v>Cryptography</c:v>
                </c:pt>
                <c:pt idx="11">
                  <c:v>Secure Communication</c:v>
                </c:pt>
                <c:pt idx="12">
                  <c:v>Configuration</c:v>
                </c:pt>
                <c:pt idx="13">
                  <c:v>Data Protection</c:v>
                </c:pt>
                <c:pt idx="14">
                  <c:v>Secure Coding and Architecture</c:v>
                </c:pt>
                <c:pt idx="15">
                  <c:v>Security Logging and Error Handling</c:v>
                </c:pt>
                <c:pt idx="16">
                  <c:v>WebRTC</c:v>
                </c:pt>
              </c:strCache>
            </c:strRef>
          </c:cat>
          <c:val>
            <c:numRef>
              <c:f>STATISTICS!$E$3:$E$19</c:f>
              <c:numCache>
                <c:formatCode>0.0%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0-A902-4E6E-8CC1-D68BB09B03F7}"/>
            </c:ext>
          </c:extLst>
        </c:ser>
        <c:dLbls>
          <c:showLegendKey val="0"/>
          <c:showVal val="0"/>
          <c:showCatName val="0"/>
          <c:showSerName val="0"/>
          <c:showPercent val="0"/>
          <c:showBubbleSize val="0"/>
        </c:dLbls>
        <c:axId val="1478078984"/>
        <c:axId val="1693263368"/>
      </c:radarChart>
      <c:catAx>
        <c:axId val="1478078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3263368"/>
        <c:crosses val="autoZero"/>
        <c:auto val="1"/>
        <c:lblAlgn val="ctr"/>
        <c:lblOffset val="100"/>
        <c:noMultiLvlLbl val="0"/>
      </c:catAx>
      <c:valAx>
        <c:axId val="1693263368"/>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8078984"/>
        <c:crosses val="autoZero"/>
        <c:crossBetween val="between"/>
        <c:majorUnit val="0.2"/>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600075</xdr:colOff>
      <xdr:row>4</xdr:row>
      <xdr:rowOff>247650</xdr:rowOff>
    </xdr:from>
    <xdr:to>
      <xdr:col>14</xdr:col>
      <xdr:colOff>600075</xdr:colOff>
      <xdr:row>18</xdr:row>
      <xdr:rowOff>247650</xdr:rowOff>
    </xdr:to>
    <xdr:graphicFrame macro="">
      <xdr:nvGraphicFramePr>
        <xdr:cNvPr id="2" name="Chart 1">
          <a:extLst>
            <a:ext uri="{FF2B5EF4-FFF2-40B4-BE49-F238E27FC236}">
              <a16:creationId xmlns:a16="http://schemas.microsoft.com/office/drawing/2014/main" id="{B38EF23F-4FB2-421E-E691-CDF72D5EA1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K124"/>
  <sheetViews>
    <sheetView tabSelected="1" workbookViewId="0"/>
  </sheetViews>
  <sheetFormatPr defaultRowHeight="15" x14ac:dyDescent="0.25"/>
  <cols>
    <col min="1" max="1" width="9.140625" style="23"/>
    <col min="2" max="2" width="32.7109375" style="23" customWidth="1"/>
    <col min="3" max="5" width="12.7109375" style="23" customWidth="1"/>
    <col min="6" max="6" width="32.28515625" style="23" hidden="1" customWidth="1"/>
    <col min="7" max="8" width="9.140625" style="23"/>
    <col min="9" max="11" width="12.7109375" style="23" customWidth="1"/>
    <col min="12" max="12" width="9.140625" style="23"/>
    <col min="13" max="13" width="9.7109375" style="23" bestFit="1" customWidth="1"/>
    <col min="14" max="16384" width="9.140625" style="23"/>
  </cols>
  <sheetData>
    <row r="1" spans="2:11" ht="20.25" customHeight="1" x14ac:dyDescent="0.25"/>
    <row r="2" spans="2:11" ht="20.25" customHeight="1" x14ac:dyDescent="0.25">
      <c r="B2" s="18" t="s">
        <v>0</v>
      </c>
      <c r="C2" s="22" t="s">
        <v>1</v>
      </c>
      <c r="D2" s="16" t="s">
        <v>2</v>
      </c>
      <c r="E2" s="16" t="s">
        <v>3</v>
      </c>
      <c r="I2" s="28" t="s">
        <v>4</v>
      </c>
      <c r="J2" s="29"/>
      <c r="K2" s="30"/>
    </row>
    <row r="3" spans="2:11" ht="20.25" customHeight="1" x14ac:dyDescent="0.25">
      <c r="B3" s="19" t="s">
        <v>5</v>
      </c>
      <c r="C3" s="17">
        <f t="shared" ref="C3:C19" ca="1" si="0">SUM(IF($I$4=TRUE, COUNTIFS(INDIRECT("'" &amp; F3 &amp; "'!$D$2:$D$31"), 1, INDIRECT("'" &amp; F3 &amp; "'!$E$2:$E$31"), "Pass"), 0), IF($J$4=TRUE, COUNTIFS(INDIRECT("'" &amp; F3 &amp; "'!$D$2:$D$31"), 2, INDIRECT("'" &amp; F3 &amp; "'!$E$2:$E$31"), "Pass"), 0), IF($K$4=TRUE, COUNTIFS(INDIRECT("'" &amp; F3 &amp; "'!$D$2:$D$31"), 3, INDIRECT("'" &amp; F3 &amp; "'!$E$2:$E$31"), "Pass"), 0))</f>
        <v>0</v>
      </c>
      <c r="D3" s="17">
        <f t="shared" ref="D3:D19" ca="1" si="1">SUM(IF($I$4=TRUE, COUNTIFS(INDIRECT("'" &amp; F3 &amp; "'!$D$2:$D$31"), 1, INDIRECT("'" &amp; F3 &amp; "'!$E$2:$E$31"), "&lt;&gt;N/A"), 0), IF($J$4=TRUE, COUNTIFS(INDIRECT("'" &amp; F3 &amp; "'!$D$2:$D$31"), 2, INDIRECT("'" &amp; F3 &amp; "'!$E$2:$E$31"), "&lt;&gt;N/A"), 0), IF($K$4=TRUE, COUNTIFS(INDIRECT("'" &amp; F3 &amp; "'!$D$2:$D$31"), 3, INDIRECT("'" &amp; F3 &amp; "'!$E$2:$E$31"), "&lt;&gt;N/A"), 0))</f>
        <v>30</v>
      </c>
      <c r="E3" s="26">
        <f ca="1">IF(D3&lt;&gt;0, C3/D3, 1)</f>
        <v>0</v>
      </c>
      <c r="F3" s="12" t="s">
        <v>6</v>
      </c>
      <c r="I3" s="8" t="s">
        <v>7</v>
      </c>
      <c r="J3" s="8" t="s">
        <v>8</v>
      </c>
      <c r="K3" s="8" t="s">
        <v>9</v>
      </c>
    </row>
    <row r="4" spans="2:11" ht="20.25" customHeight="1" x14ac:dyDescent="0.25">
      <c r="B4" s="20" t="s">
        <v>10</v>
      </c>
      <c r="C4" s="17">
        <f t="shared" ca="1" si="0"/>
        <v>0</v>
      </c>
      <c r="D4" s="17">
        <f t="shared" ca="1" si="1"/>
        <v>13</v>
      </c>
      <c r="E4" s="26">
        <f ca="1">IF(D4&lt;&gt;0, C4/D4, 1)</f>
        <v>0</v>
      </c>
      <c r="F4" s="12" t="s">
        <v>11</v>
      </c>
      <c r="I4" s="9" t="b">
        <v>1</v>
      </c>
      <c r="J4" s="10" t="b">
        <v>1</v>
      </c>
      <c r="K4" s="11" t="b">
        <v>1</v>
      </c>
    </row>
    <row r="5" spans="2:11" ht="20.25" customHeight="1" x14ac:dyDescent="0.25">
      <c r="B5" s="20" t="s">
        <v>12</v>
      </c>
      <c r="C5" s="17">
        <f t="shared" ca="1" si="0"/>
        <v>0</v>
      </c>
      <c r="D5" s="17">
        <f t="shared" ca="1" si="1"/>
        <v>30</v>
      </c>
      <c r="E5" s="26">
        <f t="shared" ref="E5:E19" ca="1" si="2">IF(D5&lt;&gt;0, C5/D5, 1)</f>
        <v>0</v>
      </c>
      <c r="F5" s="12" t="s">
        <v>13</v>
      </c>
    </row>
    <row r="6" spans="2:11" ht="20.25" customHeight="1" x14ac:dyDescent="0.25">
      <c r="B6" s="20" t="s">
        <v>14</v>
      </c>
      <c r="C6" s="17">
        <f t="shared" ca="1" si="0"/>
        <v>0</v>
      </c>
      <c r="D6" s="17">
        <f t="shared" ca="1" si="1"/>
        <v>16</v>
      </c>
      <c r="E6" s="26">
        <f t="shared" ca="1" si="2"/>
        <v>0</v>
      </c>
      <c r="F6" s="12" t="s">
        <v>15</v>
      </c>
    </row>
    <row r="7" spans="2:11" ht="20.25" customHeight="1" x14ac:dyDescent="0.25">
      <c r="B7" s="21" t="s">
        <v>16</v>
      </c>
      <c r="C7" s="17">
        <f t="shared" ca="1" si="0"/>
        <v>0</v>
      </c>
      <c r="D7" s="17">
        <f t="shared" ca="1" si="1"/>
        <v>13</v>
      </c>
      <c r="E7" s="26">
        <f t="shared" ca="1" si="2"/>
        <v>0</v>
      </c>
      <c r="F7" s="12" t="s">
        <v>17</v>
      </c>
    </row>
    <row r="8" spans="2:11" ht="20.25" customHeight="1" x14ac:dyDescent="0.25">
      <c r="B8" s="20" t="s">
        <v>18</v>
      </c>
      <c r="C8" s="17">
        <f t="shared" ca="1" si="0"/>
        <v>0</v>
      </c>
      <c r="D8" s="17">
        <f t="shared" ca="1" si="1"/>
        <v>30</v>
      </c>
      <c r="E8" s="26">
        <f t="shared" ca="1" si="2"/>
        <v>0</v>
      </c>
      <c r="F8" s="12" t="s">
        <v>19</v>
      </c>
    </row>
    <row r="9" spans="2:11" ht="20.25" customHeight="1" x14ac:dyDescent="0.25">
      <c r="B9" s="21" t="s">
        <v>20</v>
      </c>
      <c r="C9" s="17">
        <f t="shared" ca="1" si="0"/>
        <v>0</v>
      </c>
      <c r="D9" s="17">
        <f t="shared" ca="1" si="1"/>
        <v>19</v>
      </c>
      <c r="E9" s="26">
        <f t="shared" ca="1" si="2"/>
        <v>0</v>
      </c>
      <c r="F9" s="12" t="s">
        <v>21</v>
      </c>
    </row>
    <row r="10" spans="2:11" ht="20.25" customHeight="1" x14ac:dyDescent="0.25">
      <c r="B10" s="24" t="s">
        <v>22</v>
      </c>
      <c r="C10" s="17">
        <f t="shared" ca="1" si="0"/>
        <v>0</v>
      </c>
      <c r="D10" s="17">
        <f t="shared" ca="1" si="1"/>
        <v>13</v>
      </c>
      <c r="E10" s="26">
        <f t="shared" ca="1" si="2"/>
        <v>0</v>
      </c>
      <c r="F10" s="12" t="s">
        <v>23</v>
      </c>
    </row>
    <row r="11" spans="2:11" ht="20.25" customHeight="1" x14ac:dyDescent="0.25">
      <c r="B11" s="24" t="s">
        <v>24</v>
      </c>
      <c r="C11" s="17">
        <f t="shared" ca="1" si="0"/>
        <v>0</v>
      </c>
      <c r="D11" s="17">
        <f t="shared" ca="1" si="1"/>
        <v>7</v>
      </c>
      <c r="E11" s="26">
        <f t="shared" ca="1" si="2"/>
        <v>0</v>
      </c>
      <c r="F11" s="12" t="s">
        <v>25</v>
      </c>
    </row>
    <row r="12" spans="2:11" ht="20.25" customHeight="1" x14ac:dyDescent="0.25">
      <c r="B12" s="24" t="s">
        <v>26</v>
      </c>
      <c r="C12" s="17">
        <f t="shared" ca="1" si="0"/>
        <v>0</v>
      </c>
      <c r="D12" s="17">
        <f t="shared" ca="1" si="1"/>
        <v>30</v>
      </c>
      <c r="E12" s="26">
        <f t="shared" ca="1" si="2"/>
        <v>0</v>
      </c>
      <c r="F12" s="12" t="s">
        <v>27</v>
      </c>
    </row>
    <row r="13" spans="2:11" ht="20.25" customHeight="1" x14ac:dyDescent="0.25">
      <c r="B13" s="24" t="s">
        <v>28</v>
      </c>
      <c r="C13" s="17">
        <f t="shared" ca="1" si="0"/>
        <v>0</v>
      </c>
      <c r="D13" s="17">
        <f t="shared" ca="1" si="1"/>
        <v>24</v>
      </c>
      <c r="E13" s="26">
        <f t="shared" ca="1" si="2"/>
        <v>0</v>
      </c>
      <c r="F13" s="12" t="s">
        <v>29</v>
      </c>
    </row>
    <row r="14" spans="2:11" ht="20.25" customHeight="1" x14ac:dyDescent="0.25">
      <c r="B14" s="24" t="s">
        <v>30</v>
      </c>
      <c r="C14" s="17">
        <f t="shared" ca="1" si="0"/>
        <v>0</v>
      </c>
      <c r="D14" s="17">
        <f t="shared" ca="1" si="1"/>
        <v>12</v>
      </c>
      <c r="E14" s="26">
        <f t="shared" ca="1" si="2"/>
        <v>0</v>
      </c>
      <c r="F14" s="12" t="s">
        <v>31</v>
      </c>
    </row>
    <row r="15" spans="2:11" ht="20.25" customHeight="1" x14ac:dyDescent="0.25">
      <c r="B15" s="24" t="s">
        <v>32</v>
      </c>
      <c r="C15" s="17">
        <f t="shared" ca="1" si="0"/>
        <v>0</v>
      </c>
      <c r="D15" s="17">
        <f t="shared" ca="1" si="1"/>
        <v>21</v>
      </c>
      <c r="E15" s="26">
        <f t="shared" ca="1" si="2"/>
        <v>0</v>
      </c>
      <c r="F15" s="12" t="s">
        <v>33</v>
      </c>
    </row>
    <row r="16" spans="2:11" ht="20.25" customHeight="1" x14ac:dyDescent="0.25">
      <c r="B16" s="24" t="s">
        <v>34</v>
      </c>
      <c r="C16" s="17">
        <f t="shared" ca="1" si="0"/>
        <v>0</v>
      </c>
      <c r="D16" s="17">
        <f t="shared" ca="1" si="1"/>
        <v>13</v>
      </c>
      <c r="E16" s="26">
        <f t="shared" ca="1" si="2"/>
        <v>0</v>
      </c>
      <c r="F16" s="12" t="s">
        <v>35</v>
      </c>
    </row>
    <row r="17" spans="2:6" ht="20.25" customHeight="1" x14ac:dyDescent="0.25">
      <c r="B17" s="24" t="s">
        <v>36</v>
      </c>
      <c r="C17" s="17">
        <f t="shared" ca="1" si="0"/>
        <v>0</v>
      </c>
      <c r="D17" s="17">
        <f t="shared" ca="1" si="1"/>
        <v>21</v>
      </c>
      <c r="E17" s="26">
        <f t="shared" ca="1" si="2"/>
        <v>0</v>
      </c>
      <c r="F17" s="12" t="s">
        <v>37</v>
      </c>
    </row>
    <row r="18" spans="2:6" ht="20.25" customHeight="1" x14ac:dyDescent="0.25">
      <c r="B18" s="24" t="s">
        <v>38</v>
      </c>
      <c r="C18" s="17">
        <f t="shared" ca="1" si="0"/>
        <v>0</v>
      </c>
      <c r="D18" s="17">
        <f t="shared" ca="1" si="1"/>
        <v>17</v>
      </c>
      <c r="E18" s="26">
        <f t="shared" ca="1" si="2"/>
        <v>0</v>
      </c>
      <c r="F18" s="23" t="s">
        <v>39</v>
      </c>
    </row>
    <row r="19" spans="2:6" ht="20.25" customHeight="1" x14ac:dyDescent="0.25">
      <c r="B19" s="24" t="s">
        <v>40</v>
      </c>
      <c r="C19" s="25">
        <f t="shared" ca="1" si="0"/>
        <v>0</v>
      </c>
      <c r="D19" s="25">
        <f t="shared" ca="1" si="1"/>
        <v>12</v>
      </c>
      <c r="E19" s="27">
        <f t="shared" ca="1" si="2"/>
        <v>0</v>
      </c>
      <c r="F19" s="23" t="s">
        <v>41</v>
      </c>
    </row>
    <row r="20" spans="2:6" ht="20.25" customHeight="1" x14ac:dyDescent="0.25"/>
    <row r="21" spans="2:6" ht="20.25" customHeight="1" x14ac:dyDescent="0.25"/>
    <row r="22" spans="2:6" ht="20.25" customHeight="1" x14ac:dyDescent="0.25"/>
    <row r="23" spans="2:6" ht="20.25" customHeight="1" x14ac:dyDescent="0.25"/>
    <row r="24" spans="2:6" ht="20.25" customHeight="1" x14ac:dyDescent="0.25"/>
    <row r="25" spans="2:6" ht="20.25" customHeight="1" x14ac:dyDescent="0.25"/>
    <row r="26" spans="2:6" ht="20.25" customHeight="1" x14ac:dyDescent="0.25"/>
    <row r="27" spans="2:6" ht="20.25" customHeight="1" x14ac:dyDescent="0.25"/>
    <row r="28" spans="2:6" ht="20.25" customHeight="1" x14ac:dyDescent="0.25"/>
    <row r="29" spans="2:6" ht="20.25" customHeight="1" x14ac:dyDescent="0.25"/>
    <row r="30" spans="2:6" ht="20.25" customHeight="1" x14ac:dyDescent="0.25"/>
    <row r="31" spans="2:6" ht="20.25" customHeight="1" x14ac:dyDescent="0.25"/>
    <row r="32" spans="2:6" ht="20.25" customHeight="1" x14ac:dyDescent="0.25"/>
    <row r="33" s="23" customFormat="1" ht="20.25" customHeight="1" x14ac:dyDescent="0.25"/>
    <row r="34" s="23" customFormat="1" ht="20.25" customHeight="1" x14ac:dyDescent="0.25"/>
    <row r="35" s="23" customFormat="1" ht="20.25" customHeight="1" x14ac:dyDescent="0.25"/>
    <row r="36" s="23" customFormat="1" ht="20.25" customHeight="1" x14ac:dyDescent="0.25"/>
    <row r="37" s="23" customFormat="1" ht="20.25" customHeight="1" x14ac:dyDescent="0.25"/>
    <row r="38" s="23" customFormat="1" ht="20.25" customHeight="1" x14ac:dyDescent="0.25"/>
    <row r="39" s="23" customFormat="1" ht="20.25" customHeight="1" x14ac:dyDescent="0.25"/>
    <row r="40" s="23" customFormat="1" ht="20.25" customHeight="1" x14ac:dyDescent="0.25"/>
    <row r="41" s="23" customFormat="1" ht="20.25" customHeight="1" x14ac:dyDescent="0.25"/>
    <row r="42" s="23" customFormat="1" ht="20.25" customHeight="1" x14ac:dyDescent="0.25"/>
    <row r="43" s="23" customFormat="1" ht="20.25" customHeight="1" x14ac:dyDescent="0.25"/>
    <row r="44" s="23" customFormat="1" ht="20.25" customHeight="1" x14ac:dyDescent="0.25"/>
    <row r="45" s="23" customFormat="1" ht="20.25" customHeight="1" x14ac:dyDescent="0.25"/>
    <row r="46" s="23" customFormat="1" ht="20.25" customHeight="1" x14ac:dyDescent="0.25"/>
    <row r="47" s="23" customFormat="1" ht="20.25" customHeight="1" x14ac:dyDescent="0.25"/>
    <row r="48" s="23" customFormat="1" ht="20.25" customHeight="1" x14ac:dyDescent="0.25"/>
    <row r="49" s="23" customFormat="1" ht="20.25" customHeight="1" x14ac:dyDescent="0.25"/>
    <row r="50" s="23" customFormat="1" ht="20.25" customHeight="1" x14ac:dyDescent="0.25"/>
    <row r="51" s="23" customFormat="1" ht="20.25" customHeight="1" x14ac:dyDescent="0.25"/>
    <row r="52" s="23" customFormat="1" ht="20.25" customHeight="1" x14ac:dyDescent="0.25"/>
    <row r="53" s="23" customFormat="1" ht="20.25" customHeight="1" x14ac:dyDescent="0.25"/>
    <row r="54" s="23" customFormat="1" ht="20.25" customHeight="1" x14ac:dyDescent="0.25"/>
    <row r="55" s="23" customFormat="1" ht="20.25" customHeight="1" x14ac:dyDescent="0.25"/>
    <row r="56" s="23" customFormat="1" ht="20.25" customHeight="1" x14ac:dyDescent="0.25"/>
    <row r="57" s="23" customFormat="1" ht="20.25" customHeight="1" x14ac:dyDescent="0.25"/>
    <row r="58" s="23" customFormat="1" ht="20.25" customHeight="1" x14ac:dyDescent="0.25"/>
    <row r="59" s="23" customFormat="1" ht="20.25" customHeight="1" x14ac:dyDescent="0.25"/>
    <row r="60" s="23" customFormat="1" ht="20.25" customHeight="1" x14ac:dyDescent="0.25"/>
    <row r="61" s="23" customFormat="1" ht="20.25" customHeight="1" x14ac:dyDescent="0.25"/>
    <row r="62" s="23" customFormat="1" ht="20.25" customHeight="1" x14ac:dyDescent="0.25"/>
    <row r="63" s="23" customFormat="1" ht="20.25" customHeight="1" x14ac:dyDescent="0.25"/>
    <row r="64" s="23" customFormat="1" ht="20.25" customHeight="1" x14ac:dyDescent="0.25"/>
    <row r="65" s="23" customFormat="1" ht="20.25" customHeight="1" x14ac:dyDescent="0.25"/>
    <row r="66" s="23" customFormat="1" ht="20.25" customHeight="1" x14ac:dyDescent="0.25"/>
    <row r="67" s="23" customFormat="1" ht="20.25" customHeight="1" x14ac:dyDescent="0.25"/>
    <row r="68" s="23" customFormat="1" ht="20.25" customHeight="1" x14ac:dyDescent="0.25"/>
    <row r="69" s="23" customFormat="1" ht="20.25" customHeight="1" x14ac:dyDescent="0.25"/>
    <row r="70" s="23" customFormat="1" ht="20.25" customHeight="1" x14ac:dyDescent="0.25"/>
    <row r="71" s="23" customFormat="1" ht="20.25" customHeight="1" x14ac:dyDescent="0.25"/>
    <row r="72" s="23" customFormat="1" ht="20.25" customHeight="1" x14ac:dyDescent="0.25"/>
    <row r="73" s="23" customFormat="1" ht="20.25" customHeight="1" x14ac:dyDescent="0.25"/>
    <row r="74" s="23" customFormat="1" ht="20.25" customHeight="1" x14ac:dyDescent="0.25"/>
    <row r="75" s="23" customFormat="1" ht="20.25" customHeight="1" x14ac:dyDescent="0.25"/>
    <row r="76" s="23" customFormat="1" ht="20.25" customHeight="1" x14ac:dyDescent="0.25"/>
    <row r="77" s="23" customFormat="1" ht="20.25" customHeight="1" x14ac:dyDescent="0.25"/>
    <row r="78" s="23" customFormat="1" ht="20.25" customHeight="1" x14ac:dyDescent="0.25"/>
    <row r="79" s="23" customFormat="1" ht="20.25" customHeight="1" x14ac:dyDescent="0.25"/>
    <row r="80" s="23" customFormat="1" ht="20.25" customHeight="1" x14ac:dyDescent="0.25"/>
    <row r="81" s="23" customFormat="1" ht="20.25" customHeight="1" x14ac:dyDescent="0.25"/>
    <row r="82" s="23" customFormat="1" ht="20.25" customHeight="1" x14ac:dyDescent="0.25"/>
    <row r="83" s="23" customFormat="1" ht="20.25" customHeight="1" x14ac:dyDescent="0.25"/>
    <row r="84" s="23" customFormat="1" ht="20.25" customHeight="1" x14ac:dyDescent="0.25"/>
    <row r="85" s="23" customFormat="1" ht="20.25" customHeight="1" x14ac:dyDescent="0.25"/>
    <row r="86" s="23" customFormat="1" ht="20.25" customHeight="1" x14ac:dyDescent="0.25"/>
    <row r="87" s="23" customFormat="1" ht="20.25" customHeight="1" x14ac:dyDescent="0.25"/>
    <row r="88" s="23" customFormat="1" ht="20.25" customHeight="1" x14ac:dyDescent="0.25"/>
    <row r="89" s="23" customFormat="1" ht="20.25" customHeight="1" x14ac:dyDescent="0.25"/>
    <row r="90" s="23" customFormat="1" ht="20.25" customHeight="1" x14ac:dyDescent="0.25"/>
    <row r="91" s="23" customFormat="1" ht="20.25" customHeight="1" x14ac:dyDescent="0.25"/>
    <row r="92" s="23" customFormat="1" ht="20.25" customHeight="1" x14ac:dyDescent="0.25"/>
    <row r="93" s="23" customFormat="1" ht="20.25" customHeight="1" x14ac:dyDescent="0.25"/>
    <row r="94" s="23" customFormat="1" ht="20.25" customHeight="1" x14ac:dyDescent="0.25"/>
    <row r="95" s="23" customFormat="1" ht="20.25" customHeight="1" x14ac:dyDescent="0.25"/>
    <row r="96" s="23" customFormat="1" ht="20.25" customHeight="1" x14ac:dyDescent="0.25"/>
    <row r="97" s="23" customFormat="1" ht="20.25" customHeight="1" x14ac:dyDescent="0.25"/>
    <row r="98" s="23" customFormat="1" ht="20.25" customHeight="1" x14ac:dyDescent="0.25"/>
    <row r="99" s="23" customFormat="1" ht="20.25" customHeight="1" x14ac:dyDescent="0.25"/>
    <row r="100" s="23" customFormat="1" ht="20.25" customHeight="1" x14ac:dyDescent="0.25"/>
    <row r="101" s="23" customFormat="1" ht="20.25" customHeight="1" x14ac:dyDescent="0.25"/>
    <row r="102" s="23" customFormat="1" ht="20.25" customHeight="1" x14ac:dyDescent="0.25"/>
    <row r="103" s="23" customFormat="1" ht="20.25" customHeight="1" x14ac:dyDescent="0.25"/>
    <row r="104" s="23" customFormat="1" ht="20.25" customHeight="1" x14ac:dyDescent="0.25"/>
    <row r="105" s="23" customFormat="1" ht="20.25" customHeight="1" x14ac:dyDescent="0.25"/>
    <row r="106" s="23" customFormat="1" ht="20.25" customHeight="1" x14ac:dyDescent="0.25"/>
    <row r="107" s="23" customFormat="1" ht="20.25" customHeight="1" x14ac:dyDescent="0.25"/>
    <row r="108" s="23" customFormat="1" ht="20.25" customHeight="1" x14ac:dyDescent="0.25"/>
    <row r="109" s="23" customFormat="1" ht="20.25" customHeight="1" x14ac:dyDescent="0.25"/>
    <row r="110" s="23" customFormat="1" ht="20.25" customHeight="1" x14ac:dyDescent="0.25"/>
    <row r="111" s="23" customFormat="1" ht="20.25" customHeight="1" x14ac:dyDescent="0.25"/>
    <row r="112" s="23" customFormat="1" ht="20.25" customHeight="1" x14ac:dyDescent="0.25"/>
    <row r="113" s="23" customFormat="1" ht="20.25" customHeight="1" x14ac:dyDescent="0.25"/>
    <row r="114" s="23" customFormat="1" ht="20.25" customHeight="1" x14ac:dyDescent="0.25"/>
    <row r="115" s="23" customFormat="1" ht="20.25" customHeight="1" x14ac:dyDescent="0.25"/>
    <row r="116" s="23" customFormat="1" ht="20.25" customHeight="1" x14ac:dyDescent="0.25"/>
    <row r="117" s="23" customFormat="1" ht="20.25" customHeight="1" x14ac:dyDescent="0.25"/>
    <row r="118" s="23" customFormat="1" ht="20.25" customHeight="1" x14ac:dyDescent="0.25"/>
    <row r="119" s="23" customFormat="1" ht="20.25" customHeight="1" x14ac:dyDescent="0.25"/>
    <row r="120" s="23" customFormat="1" ht="20.25" customHeight="1" x14ac:dyDescent="0.25"/>
    <row r="121" s="23" customFormat="1" ht="20.25" customHeight="1" x14ac:dyDescent="0.25"/>
    <row r="122" s="23" customFormat="1" ht="20.25" customHeight="1" x14ac:dyDescent="0.25"/>
    <row r="123" s="23" customFormat="1" ht="20.25" customHeight="1" x14ac:dyDescent="0.25"/>
    <row r="124" s="23" customFormat="1" ht="20.25" customHeight="1" x14ac:dyDescent="0.25"/>
  </sheetData>
  <mergeCells count="1">
    <mergeCell ref="I2:K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A0E66-AB75-4173-BB34-1F12A6F91FB9}">
  <dimension ref="A1:F52"/>
  <sheetViews>
    <sheetView topLeftCell="A9" workbookViewId="0">
      <selection activeCell="B2" sqref="B2:E16"/>
    </sheetView>
  </sheetViews>
  <sheetFormatPr defaultRowHeight="15" x14ac:dyDescent="0.25"/>
  <cols>
    <col min="1" max="1" width="31.140625" style="1" customWidth="1"/>
    <col min="2" max="2" width="21.85546875" style="1" customWidth="1"/>
    <col min="3" max="3" width="69.85546875" style="1" customWidth="1"/>
    <col min="4" max="4" width="12.7109375" style="1" customWidth="1"/>
    <col min="5" max="5" width="19.7109375" style="1" customWidth="1"/>
    <col min="6" max="16384" width="9.140625" style="1"/>
  </cols>
  <sheetData>
    <row r="1" spans="1:6" ht="33.75" customHeight="1" x14ac:dyDescent="0.25">
      <c r="A1" s="5" t="s">
        <v>42</v>
      </c>
      <c r="B1" s="5" t="s">
        <v>43</v>
      </c>
      <c r="C1" s="5" t="s">
        <v>44</v>
      </c>
      <c r="D1" s="5" t="s">
        <v>45</v>
      </c>
      <c r="E1" s="5" t="s">
        <v>46</v>
      </c>
      <c r="F1" s="2"/>
    </row>
    <row r="2" spans="1:6" ht="60" x14ac:dyDescent="0.25">
      <c r="A2" s="31" t="s">
        <v>47</v>
      </c>
      <c r="B2" s="6" t="s">
        <v>48</v>
      </c>
      <c r="C2" s="7" t="s">
        <v>49</v>
      </c>
      <c r="D2" s="6">
        <v>2</v>
      </c>
      <c r="E2" s="6"/>
    </row>
    <row r="3" spans="1:6" ht="45" x14ac:dyDescent="0.25">
      <c r="A3" s="31"/>
      <c r="B3" s="6" t="s">
        <v>50</v>
      </c>
      <c r="C3" s="7" t="s">
        <v>51</v>
      </c>
      <c r="D3" s="6">
        <v>2</v>
      </c>
      <c r="E3" s="6"/>
    </row>
    <row r="4" spans="1:6" ht="60" x14ac:dyDescent="0.25">
      <c r="A4" s="31" t="s">
        <v>52</v>
      </c>
      <c r="B4" s="6" t="s">
        <v>53</v>
      </c>
      <c r="C4" s="7" t="s">
        <v>54</v>
      </c>
      <c r="D4" s="6">
        <v>1</v>
      </c>
      <c r="E4" s="6"/>
    </row>
    <row r="5" spans="1:6" ht="60" x14ac:dyDescent="0.25">
      <c r="A5" s="31"/>
      <c r="B5" s="6" t="s">
        <v>55</v>
      </c>
      <c r="C5" s="7" t="s">
        <v>56</v>
      </c>
      <c r="D5" s="6">
        <v>1</v>
      </c>
      <c r="E5" s="6"/>
    </row>
    <row r="6" spans="1:6" ht="45" x14ac:dyDescent="0.25">
      <c r="A6" s="31"/>
      <c r="B6" s="6" t="s">
        <v>57</v>
      </c>
      <c r="C6" s="7" t="s">
        <v>58</v>
      </c>
      <c r="D6" s="6">
        <v>1</v>
      </c>
      <c r="E6" s="6"/>
    </row>
    <row r="7" spans="1:6" ht="60" x14ac:dyDescent="0.25">
      <c r="A7" s="31"/>
      <c r="B7" s="6" t="s">
        <v>59</v>
      </c>
      <c r="C7" s="7" t="s">
        <v>60</v>
      </c>
      <c r="D7" s="6">
        <v>1</v>
      </c>
      <c r="E7" s="6"/>
    </row>
    <row r="8" spans="1:6" ht="45" x14ac:dyDescent="0.25">
      <c r="A8" s="31"/>
      <c r="B8" s="6" t="s">
        <v>61</v>
      </c>
      <c r="C8" s="7" t="s">
        <v>62</v>
      </c>
      <c r="D8" s="6">
        <v>1</v>
      </c>
      <c r="E8" s="6"/>
    </row>
    <row r="9" spans="1:6" ht="45" x14ac:dyDescent="0.25">
      <c r="A9" s="31"/>
      <c r="B9" s="6" t="s">
        <v>63</v>
      </c>
      <c r="C9" s="7" t="s">
        <v>64</v>
      </c>
      <c r="D9" s="6">
        <v>2</v>
      </c>
      <c r="E9" s="6"/>
    </row>
    <row r="10" spans="1:6" ht="30" x14ac:dyDescent="0.25">
      <c r="A10" s="31"/>
      <c r="B10" s="6" t="s">
        <v>65</v>
      </c>
      <c r="C10" s="7" t="s">
        <v>66</v>
      </c>
      <c r="D10" s="6">
        <v>2</v>
      </c>
      <c r="E10" s="6"/>
    </row>
    <row r="11" spans="1:6" ht="45" x14ac:dyDescent="0.25">
      <c r="A11" s="31"/>
      <c r="B11" s="6" t="s">
        <v>67</v>
      </c>
      <c r="C11" s="7" t="s">
        <v>68</v>
      </c>
      <c r="D11" s="6">
        <v>2</v>
      </c>
      <c r="E11" s="6"/>
    </row>
    <row r="12" spans="1:6" ht="45" x14ac:dyDescent="0.25">
      <c r="A12" s="31"/>
      <c r="B12" s="6" t="s">
        <v>69</v>
      </c>
      <c r="C12" s="7" t="s">
        <v>70</v>
      </c>
      <c r="D12" s="6">
        <v>2</v>
      </c>
      <c r="E12" s="6"/>
    </row>
    <row r="13" spans="1:6" ht="105" x14ac:dyDescent="0.25">
      <c r="A13" s="31"/>
      <c r="B13" s="6" t="s">
        <v>71</v>
      </c>
      <c r="C13" s="7" t="s">
        <v>72</v>
      </c>
      <c r="D13" s="6">
        <v>3</v>
      </c>
      <c r="E13" s="6"/>
    </row>
    <row r="14" spans="1:6" ht="45" x14ac:dyDescent="0.25">
      <c r="A14" s="31" t="s">
        <v>73</v>
      </c>
      <c r="B14" s="6" t="s">
        <v>74</v>
      </c>
      <c r="C14" s="7" t="s">
        <v>75</v>
      </c>
      <c r="D14" s="6">
        <v>1</v>
      </c>
      <c r="E14" s="6"/>
    </row>
    <row r="15" spans="1:6" ht="60" x14ac:dyDescent="0.25">
      <c r="A15" s="31"/>
      <c r="B15" s="6" t="s">
        <v>76</v>
      </c>
      <c r="C15" s="7" t="s">
        <v>77</v>
      </c>
      <c r="D15" s="6">
        <v>1</v>
      </c>
      <c r="E15" s="6"/>
    </row>
    <row r="16" spans="1:6" ht="45" x14ac:dyDescent="0.25">
      <c r="A16" s="31"/>
      <c r="B16" s="6" t="s">
        <v>78</v>
      </c>
      <c r="C16" s="7" t="s">
        <v>79</v>
      </c>
      <c r="D16" s="6">
        <v>2</v>
      </c>
      <c r="E16" s="6"/>
    </row>
    <row r="17" spans="1:5" ht="60" x14ac:dyDescent="0.25">
      <c r="A17" s="31"/>
      <c r="B17" s="6" t="s">
        <v>80</v>
      </c>
      <c r="C17" s="7" t="s">
        <v>81</v>
      </c>
      <c r="D17" s="6">
        <v>2</v>
      </c>
      <c r="E17" s="6"/>
    </row>
    <row r="18" spans="1:5" ht="45" x14ac:dyDescent="0.25">
      <c r="A18" s="31"/>
      <c r="B18" s="6" t="s">
        <v>82</v>
      </c>
      <c r="C18" s="7" t="s">
        <v>83</v>
      </c>
      <c r="D18" s="6">
        <v>2</v>
      </c>
      <c r="E18" s="6"/>
    </row>
    <row r="19" spans="1:5" ht="60" x14ac:dyDescent="0.25">
      <c r="A19" s="31"/>
      <c r="B19" s="6" t="s">
        <v>84</v>
      </c>
      <c r="C19" s="7" t="s">
        <v>85</v>
      </c>
      <c r="D19" s="6">
        <v>2</v>
      </c>
      <c r="E19" s="6"/>
    </row>
    <row r="20" spans="1:5" ht="60" x14ac:dyDescent="0.25">
      <c r="A20" s="31"/>
      <c r="B20" s="6" t="s">
        <v>86</v>
      </c>
      <c r="C20" s="7" t="s">
        <v>87</v>
      </c>
      <c r="D20" s="6">
        <v>2</v>
      </c>
      <c r="E20" s="6"/>
    </row>
    <row r="21" spans="1:5" ht="45" x14ac:dyDescent="0.25">
      <c r="A21" s="31"/>
      <c r="B21" s="6" t="s">
        <v>88</v>
      </c>
      <c r="C21" s="7" t="s">
        <v>89</v>
      </c>
      <c r="D21" s="6">
        <v>2</v>
      </c>
      <c r="E21" s="6"/>
    </row>
    <row r="22" spans="1:5" ht="30" x14ac:dyDescent="0.25">
      <c r="A22" s="31"/>
      <c r="B22" s="6" t="s">
        <v>90</v>
      </c>
      <c r="C22" s="7" t="s">
        <v>91</v>
      </c>
      <c r="D22" s="6">
        <v>2</v>
      </c>
      <c r="E22" s="6"/>
    </row>
    <row r="23" spans="1:5" ht="30" x14ac:dyDescent="0.25">
      <c r="A23" s="31"/>
      <c r="B23" s="6" t="s">
        <v>92</v>
      </c>
      <c r="C23" s="7" t="s">
        <v>93</v>
      </c>
      <c r="D23" s="6">
        <v>2</v>
      </c>
      <c r="E23" s="6"/>
    </row>
    <row r="24" spans="1:5" ht="30" x14ac:dyDescent="0.25">
      <c r="A24" s="31"/>
      <c r="B24" s="6" t="s">
        <v>94</v>
      </c>
      <c r="C24" s="7" t="s">
        <v>95</v>
      </c>
      <c r="D24" s="6">
        <v>2</v>
      </c>
      <c r="E24" s="6"/>
    </row>
    <row r="25" spans="1:5" ht="45" x14ac:dyDescent="0.25">
      <c r="A25" s="31"/>
      <c r="B25" s="6" t="s">
        <v>96</v>
      </c>
      <c r="C25" s="7" t="s">
        <v>97</v>
      </c>
      <c r="D25" s="6">
        <v>3</v>
      </c>
      <c r="E25" s="6"/>
    </row>
    <row r="26" spans="1:5" ht="30" x14ac:dyDescent="0.25">
      <c r="A26" s="31" t="s">
        <v>98</v>
      </c>
      <c r="B26" s="6" t="s">
        <v>99</v>
      </c>
      <c r="C26" s="7" t="s">
        <v>100</v>
      </c>
      <c r="D26" s="6">
        <v>2</v>
      </c>
      <c r="E26" s="6"/>
    </row>
    <row r="27" spans="1:5" ht="30" x14ac:dyDescent="0.25">
      <c r="A27" s="31"/>
      <c r="B27" s="6" t="s">
        <v>101</v>
      </c>
      <c r="C27" s="7" t="s">
        <v>102</v>
      </c>
      <c r="D27" s="6">
        <v>2</v>
      </c>
      <c r="E27" s="6"/>
    </row>
    <row r="28" spans="1:5" ht="45" x14ac:dyDescent="0.25">
      <c r="A28" s="31"/>
      <c r="B28" s="6" t="s">
        <v>103</v>
      </c>
      <c r="C28" s="7" t="s">
        <v>104</v>
      </c>
      <c r="D28" s="6">
        <v>2</v>
      </c>
      <c r="E28" s="6"/>
    </row>
    <row r="29" spans="1:5" ht="45" x14ac:dyDescent="0.25">
      <c r="A29" s="31" t="s">
        <v>105</v>
      </c>
      <c r="B29" s="6" t="s">
        <v>106</v>
      </c>
      <c r="C29" s="7" t="s">
        <v>107</v>
      </c>
      <c r="D29" s="6">
        <v>1</v>
      </c>
      <c r="E29" s="6"/>
    </row>
    <row r="30" spans="1:5" ht="60" x14ac:dyDescent="0.25">
      <c r="A30" s="31"/>
      <c r="B30" s="6" t="s">
        <v>108</v>
      </c>
      <c r="C30" s="7" t="s">
        <v>109</v>
      </c>
      <c r="D30" s="6">
        <v>2</v>
      </c>
      <c r="E30" s="6"/>
    </row>
    <row r="31" spans="1:5" ht="90" x14ac:dyDescent="0.25">
      <c r="A31" s="31"/>
      <c r="B31" s="6" t="s">
        <v>110</v>
      </c>
      <c r="C31" s="7" t="s">
        <v>111</v>
      </c>
      <c r="D31" s="6">
        <v>3</v>
      </c>
      <c r="E31" s="6"/>
    </row>
    <row r="32" spans="1:5" ht="33.75" customHeight="1" x14ac:dyDescent="0.25"/>
    <row r="33" s="1" customFormat="1" ht="33.75" customHeight="1" x14ac:dyDescent="0.25"/>
    <row r="34" s="1" customFormat="1" ht="33.75" customHeight="1" x14ac:dyDescent="0.25"/>
    <row r="35" s="1" customFormat="1" ht="33.75" customHeight="1" x14ac:dyDescent="0.25"/>
    <row r="36" s="1" customFormat="1" ht="33.75" customHeight="1" x14ac:dyDescent="0.25"/>
    <row r="37" s="1" customFormat="1" ht="33.75" customHeight="1" x14ac:dyDescent="0.25"/>
    <row r="38" s="1" customFormat="1" ht="33.75" customHeight="1" x14ac:dyDescent="0.25"/>
    <row r="39" s="1" customFormat="1" ht="33.75" customHeight="1" x14ac:dyDescent="0.25"/>
    <row r="40" s="1" customFormat="1" ht="33.75" customHeight="1" x14ac:dyDescent="0.25"/>
    <row r="41" s="1" customFormat="1" ht="33.75" customHeight="1" x14ac:dyDescent="0.25"/>
    <row r="42" s="1" customFormat="1" ht="33.75" customHeight="1" x14ac:dyDescent="0.25"/>
    <row r="43" s="1" customFormat="1" ht="33.75" customHeight="1" x14ac:dyDescent="0.25"/>
    <row r="44" s="1" customFormat="1" ht="33.75" customHeight="1" x14ac:dyDescent="0.25"/>
    <row r="45" s="1" customFormat="1" ht="33.75" customHeight="1" x14ac:dyDescent="0.25"/>
    <row r="46" s="1" customFormat="1" ht="33.75" customHeight="1" x14ac:dyDescent="0.25"/>
    <row r="47" s="1" customFormat="1" ht="33.75" customHeight="1" x14ac:dyDescent="0.25"/>
    <row r="48" s="1" customFormat="1" ht="33.75" customHeight="1" x14ac:dyDescent="0.25"/>
    <row r="49" s="1" customFormat="1" ht="33.75" customHeight="1" x14ac:dyDescent="0.25"/>
    <row r="50" s="1" customFormat="1" ht="33.75" customHeight="1" x14ac:dyDescent="0.25"/>
    <row r="51" s="1" customFormat="1" ht="33.75" customHeight="1" x14ac:dyDescent="0.25"/>
    <row r="52" s="1" customFormat="1" ht="33.75" customHeight="1" x14ac:dyDescent="0.25"/>
  </sheetData>
  <mergeCells count="5">
    <mergeCell ref="A2:A3"/>
    <mergeCell ref="A4:A13"/>
    <mergeCell ref="A14:A25"/>
    <mergeCell ref="A26:A28"/>
    <mergeCell ref="A29:A31"/>
  </mergeCells>
  <dataValidations count="1">
    <dataValidation type="list" allowBlank="1" showInputMessage="1" showErrorMessage="1" sqref="E2:E31" xr:uid="{4AC3F9B6-4598-40FB-A95B-0D486D10F011}">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6" id="{FB4A3F17-A900-482F-AE00-023F0E2E0EB8}">
            <xm:f>IF(STATISTICS!$J$4=FALSE, TRUE, FALSE)</xm:f>
            <x14:dxf>
              <font>
                <strike/>
              </font>
            </x14:dxf>
          </x14:cfRule>
          <xm:sqref>B2:E3 B9:E12 B16:E24 B26:E28 B30:E30</xm:sqref>
        </x14:conditionalFormatting>
        <x14:conditionalFormatting xmlns:xm="http://schemas.microsoft.com/office/excel/2006/main">
          <x14:cfRule type="expression" priority="1" id="{4E177E48-4CD3-4A9C-9FE3-FA395FBA7233}">
            <xm:f>IF(STATISTICS!$I$4=FALSE, TRUE, FALSE)</xm:f>
            <x14:dxf>
              <font>
                <strike/>
              </font>
            </x14:dxf>
          </x14:cfRule>
          <xm:sqref>B4:E8 B14:E15 B29:E29</xm:sqref>
        </x14:conditionalFormatting>
        <x14:conditionalFormatting xmlns:xm="http://schemas.microsoft.com/office/excel/2006/main">
          <x14:cfRule type="expression" priority="11" id="{5FBF0008-E8D9-47C4-8956-92A4750CEB7E}">
            <xm:f>IF(STATISTICS!$K$4=FALSE, TRUE, FALSE)</xm:f>
            <x14:dxf>
              <font>
                <strike/>
              </font>
            </x14:dxf>
          </x14:cfRule>
          <xm:sqref>B13:E13 B25:E25 B31:E31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45B5-CC43-49E6-8910-6CBF7363E922}">
  <dimension ref="A1:F52"/>
  <sheetViews>
    <sheetView workbookViewId="0"/>
  </sheetViews>
  <sheetFormatPr defaultRowHeight="15" x14ac:dyDescent="0.25"/>
  <cols>
    <col min="1" max="1" width="31.140625" style="1" customWidth="1"/>
    <col min="2" max="2" width="21.85546875" style="1" customWidth="1"/>
    <col min="3" max="3" width="69.85546875" style="1" customWidth="1"/>
    <col min="4" max="4" width="13.7109375" style="1" customWidth="1"/>
    <col min="5" max="5" width="19.7109375" style="1" customWidth="1"/>
    <col min="6" max="16384" width="9.140625" style="1"/>
  </cols>
  <sheetData>
    <row r="1" spans="1:6" ht="33.75" customHeight="1" x14ac:dyDescent="0.25">
      <c r="A1" s="5" t="s">
        <v>42</v>
      </c>
      <c r="B1" s="5" t="s">
        <v>43</v>
      </c>
      <c r="C1" s="5" t="s">
        <v>44</v>
      </c>
      <c r="D1" s="5" t="s">
        <v>45</v>
      </c>
      <c r="E1" s="5" t="s">
        <v>46</v>
      </c>
      <c r="F1" s="2"/>
    </row>
    <row r="2" spans="1:6" ht="60" x14ac:dyDescent="0.25">
      <c r="A2" s="31" t="s">
        <v>112</v>
      </c>
      <c r="B2" s="6" t="s">
        <v>113</v>
      </c>
      <c r="C2" s="7" t="s">
        <v>114</v>
      </c>
      <c r="D2" s="6">
        <v>1</v>
      </c>
      <c r="E2" s="6"/>
    </row>
    <row r="3" spans="1:6" ht="45" x14ac:dyDescent="0.25">
      <c r="A3" s="31"/>
      <c r="B3" s="6" t="s">
        <v>115</v>
      </c>
      <c r="C3" s="7" t="s">
        <v>116</v>
      </c>
      <c r="D3" s="6">
        <v>2</v>
      </c>
      <c r="E3" s="6"/>
    </row>
    <row r="4" spans="1:6" ht="30" x14ac:dyDescent="0.25">
      <c r="A4" s="31"/>
      <c r="B4" s="6" t="s">
        <v>117</v>
      </c>
      <c r="C4" s="7" t="s">
        <v>118</v>
      </c>
      <c r="D4" s="6">
        <v>2</v>
      </c>
      <c r="E4" s="6"/>
    </row>
    <row r="5" spans="1:6" ht="90" x14ac:dyDescent="0.25">
      <c r="A5" s="31" t="s">
        <v>119</v>
      </c>
      <c r="B5" s="6" t="s">
        <v>120</v>
      </c>
      <c r="C5" s="7" t="s">
        <v>121</v>
      </c>
      <c r="D5" s="6">
        <v>1</v>
      </c>
      <c r="E5" s="6"/>
    </row>
    <row r="6" spans="1:6" ht="45" x14ac:dyDescent="0.25">
      <c r="A6" s="31"/>
      <c r="B6" s="6" t="s">
        <v>122</v>
      </c>
      <c r="C6" s="7" t="s">
        <v>123</v>
      </c>
      <c r="D6" s="6">
        <v>1</v>
      </c>
      <c r="E6" s="6"/>
    </row>
    <row r="7" spans="1:6" ht="30" x14ac:dyDescent="0.25">
      <c r="A7" s="31"/>
      <c r="B7" s="6" t="s">
        <v>124</v>
      </c>
      <c r="C7" s="7" t="s">
        <v>125</v>
      </c>
      <c r="D7" s="6">
        <v>2</v>
      </c>
      <c r="E7" s="6"/>
    </row>
    <row r="8" spans="1:6" ht="30" x14ac:dyDescent="0.25">
      <c r="A8" s="32" t="s">
        <v>126</v>
      </c>
      <c r="B8" s="6" t="s">
        <v>127</v>
      </c>
      <c r="C8" s="7" t="s">
        <v>128</v>
      </c>
      <c r="D8" s="6">
        <v>1</v>
      </c>
      <c r="E8" s="6"/>
    </row>
    <row r="9" spans="1:6" ht="30" x14ac:dyDescent="0.25">
      <c r="A9" s="31"/>
      <c r="B9" s="6" t="s">
        <v>129</v>
      </c>
      <c r="C9" s="7" t="s">
        <v>130</v>
      </c>
      <c r="D9" s="6">
        <v>2</v>
      </c>
      <c r="E9" s="6"/>
    </row>
    <row r="10" spans="1:6" ht="45" x14ac:dyDescent="0.25">
      <c r="A10" s="31"/>
      <c r="B10" s="6" t="s">
        <v>131</v>
      </c>
      <c r="C10" s="7" t="s">
        <v>132</v>
      </c>
      <c r="D10" s="6">
        <v>2</v>
      </c>
      <c r="E10" s="6"/>
    </row>
    <row r="11" spans="1:6" ht="45" x14ac:dyDescent="0.25">
      <c r="A11" s="31"/>
      <c r="B11" s="6" t="s">
        <v>133</v>
      </c>
      <c r="C11" s="7" t="s">
        <v>134</v>
      </c>
      <c r="D11" s="6">
        <v>2</v>
      </c>
      <c r="E11" s="6"/>
    </row>
    <row r="12" spans="1:6" ht="60" x14ac:dyDescent="0.25">
      <c r="A12" s="31"/>
      <c r="B12" s="6" t="s">
        <v>135</v>
      </c>
      <c r="C12" s="7" t="s">
        <v>136</v>
      </c>
      <c r="D12" s="6">
        <v>3</v>
      </c>
      <c r="E12" s="6"/>
    </row>
    <row r="13" spans="1:6" ht="60" x14ac:dyDescent="0.25">
      <c r="A13" s="31" t="s">
        <v>137</v>
      </c>
      <c r="B13" s="6" t="s">
        <v>138</v>
      </c>
      <c r="C13" s="7" t="s">
        <v>139</v>
      </c>
      <c r="D13" s="6">
        <v>2</v>
      </c>
      <c r="E13" s="6"/>
    </row>
    <row r="14" spans="1:6" ht="30" x14ac:dyDescent="0.25">
      <c r="A14" s="31"/>
      <c r="B14" s="6" t="s">
        <v>140</v>
      </c>
      <c r="C14" s="7" t="s">
        <v>141</v>
      </c>
      <c r="D14" s="6">
        <v>3</v>
      </c>
      <c r="E14" s="6"/>
    </row>
    <row r="15" spans="1:6" x14ac:dyDescent="0.25">
      <c r="A15" s="4"/>
      <c r="C15" s="3"/>
    </row>
    <row r="16" spans="1:6" x14ac:dyDescent="0.25">
      <c r="A16" s="4"/>
      <c r="C16" s="3"/>
    </row>
    <row r="17" spans="1:3" x14ac:dyDescent="0.25">
      <c r="A17" s="4"/>
      <c r="C17" s="3"/>
    </row>
    <row r="18" spans="1:3" x14ac:dyDescent="0.25">
      <c r="A18" s="4"/>
      <c r="C18" s="3"/>
    </row>
    <row r="19" spans="1:3" x14ac:dyDescent="0.25">
      <c r="A19" s="4"/>
      <c r="C19" s="3"/>
    </row>
    <row r="20" spans="1:3" x14ac:dyDescent="0.25">
      <c r="A20" s="4"/>
      <c r="C20" s="3"/>
    </row>
    <row r="21" spans="1:3" x14ac:dyDescent="0.25">
      <c r="A21" s="4"/>
      <c r="C21" s="3"/>
    </row>
    <row r="22" spans="1:3" x14ac:dyDescent="0.25">
      <c r="A22" s="4"/>
      <c r="C22" s="3"/>
    </row>
    <row r="23" spans="1:3" x14ac:dyDescent="0.25">
      <c r="A23" s="4"/>
      <c r="C23" s="3"/>
    </row>
    <row r="24" spans="1:3" x14ac:dyDescent="0.25">
      <c r="A24" s="4"/>
      <c r="C24" s="3"/>
    </row>
    <row r="25" spans="1:3" x14ac:dyDescent="0.25">
      <c r="A25" s="4"/>
      <c r="C25" s="3"/>
    </row>
    <row r="26" spans="1:3" x14ac:dyDescent="0.25">
      <c r="A26" s="4"/>
      <c r="C26" s="3"/>
    </row>
    <row r="27" spans="1:3" x14ac:dyDescent="0.25">
      <c r="A27" s="4"/>
      <c r="C27" s="3"/>
    </row>
    <row r="28" spans="1:3" x14ac:dyDescent="0.25">
      <c r="A28" s="4"/>
      <c r="C28" s="3"/>
    </row>
    <row r="29" spans="1:3" x14ac:dyDescent="0.25">
      <c r="A29" s="4"/>
      <c r="C29" s="3"/>
    </row>
    <row r="30" spans="1:3" x14ac:dyDescent="0.25">
      <c r="A30" s="4"/>
      <c r="C30" s="3"/>
    </row>
    <row r="31" spans="1:3" x14ac:dyDescent="0.25">
      <c r="A31" s="4"/>
      <c r="C31" s="3"/>
    </row>
    <row r="32" spans="1:3" ht="33.75" customHeight="1" x14ac:dyDescent="0.25">
      <c r="A32" s="4"/>
    </row>
    <row r="33" spans="1:1" ht="33.75" customHeight="1" x14ac:dyDescent="0.25">
      <c r="A33" s="4"/>
    </row>
    <row r="34" spans="1:1" ht="33.75" customHeight="1" x14ac:dyDescent="0.25">
      <c r="A34" s="4"/>
    </row>
    <row r="35" spans="1:1" ht="33.75" customHeight="1" x14ac:dyDescent="0.25">
      <c r="A35" s="4"/>
    </row>
    <row r="36" spans="1:1" ht="33.75" customHeight="1" x14ac:dyDescent="0.25">
      <c r="A36" s="4"/>
    </row>
    <row r="37" spans="1:1" ht="33.75" customHeight="1" x14ac:dyDescent="0.25">
      <c r="A37" s="4"/>
    </row>
    <row r="38" spans="1:1" ht="33.75" customHeight="1" x14ac:dyDescent="0.25">
      <c r="A38" s="4"/>
    </row>
    <row r="39" spans="1:1" ht="33.75" customHeight="1" x14ac:dyDescent="0.25">
      <c r="A39" s="4"/>
    </row>
    <row r="40" spans="1:1" ht="33.75" customHeight="1" x14ac:dyDescent="0.25"/>
    <row r="41" spans="1:1" ht="33.75" customHeight="1" x14ac:dyDescent="0.25"/>
    <row r="42" spans="1:1" ht="33.75" customHeight="1" x14ac:dyDescent="0.25"/>
    <row r="43" spans="1:1" ht="33.75" customHeight="1" x14ac:dyDescent="0.25"/>
    <row r="44" spans="1:1" ht="33.75" customHeight="1" x14ac:dyDescent="0.25"/>
    <row r="45" spans="1:1" ht="33.75" customHeight="1" x14ac:dyDescent="0.25"/>
    <row r="46" spans="1:1" ht="33.75" customHeight="1" x14ac:dyDescent="0.25"/>
    <row r="47" spans="1:1" ht="33.75" customHeight="1" x14ac:dyDescent="0.25"/>
    <row r="48" spans="1:1" ht="33.75" customHeight="1" x14ac:dyDescent="0.25"/>
    <row r="49" s="1" customFormat="1" ht="33.75" customHeight="1" x14ac:dyDescent="0.25"/>
    <row r="50" s="1" customFormat="1" ht="33.75" customHeight="1" x14ac:dyDescent="0.25"/>
    <row r="51" s="1" customFormat="1" ht="33.75" customHeight="1" x14ac:dyDescent="0.25"/>
    <row r="52" s="1" customFormat="1" ht="33.75" customHeight="1" x14ac:dyDescent="0.25"/>
  </sheetData>
  <mergeCells count="4">
    <mergeCell ref="A2:A4"/>
    <mergeCell ref="A5:A7"/>
    <mergeCell ref="A8:A12"/>
    <mergeCell ref="A13:A14"/>
  </mergeCells>
  <dataValidations count="1">
    <dataValidation type="list" allowBlank="1" showInputMessage="1" showErrorMessage="1" sqref="E2:E14" xr:uid="{C88EEB9A-31E7-4731-8281-B7959E880D9B}">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22" id="{E8DAB7A7-FB39-49E3-88D1-E1B2B884B2FE}">
            <xm:f>IF(STATISTICS!$I$4=FALSE, TRUE, FALSE)</xm:f>
            <x14:dxf>
              <font>
                <strike/>
              </font>
            </x14:dxf>
          </x14:cfRule>
          <xm:sqref>B2:E2 B5:E6 B8:E8</xm:sqref>
        </x14:conditionalFormatting>
        <x14:conditionalFormatting xmlns:xm="http://schemas.microsoft.com/office/excel/2006/main">
          <x14:cfRule type="expression" priority="18" id="{DF114BBC-8805-4537-BCAD-ABFDC41C2373}">
            <xm:f>IF(STATISTICS!$J$4=FALSE, TRUE, FALSE)</xm:f>
            <x14:dxf>
              <font>
                <strike/>
              </font>
            </x14:dxf>
          </x14:cfRule>
          <xm:sqref>B3:E4 B7:E7 B9:E11 B13:E13</xm:sqref>
        </x14:conditionalFormatting>
        <x14:conditionalFormatting xmlns:xm="http://schemas.microsoft.com/office/excel/2006/main">
          <x14:cfRule type="expression" priority="2" id="{E8DAB7A7-FB39-49E3-88D1-E1B2B884B2FE}">
            <xm:f>IF(STATISTICS!$K$4=FALSE, TRUE, FALSE)</xm:f>
            <x14:dxf>
              <font>
                <strike/>
              </font>
            </x14:dxf>
          </x14:cfRule>
          <xm:sqref>B12:E12 B14:E14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7DBDD-4905-4F8D-A00E-0309A111752C}">
  <dimension ref="A1:F52"/>
  <sheetViews>
    <sheetView workbookViewId="0"/>
  </sheetViews>
  <sheetFormatPr defaultRowHeight="15" x14ac:dyDescent="0.25"/>
  <cols>
    <col min="1" max="1" width="31.140625" style="1" customWidth="1"/>
    <col min="2" max="2" width="21.85546875" style="1" customWidth="1"/>
    <col min="3" max="3" width="69.85546875" style="1" customWidth="1"/>
    <col min="4" max="4" width="13.7109375" style="1" customWidth="1"/>
    <col min="5" max="5" width="19.7109375" style="1" customWidth="1"/>
    <col min="6" max="16384" width="9.140625" style="1"/>
  </cols>
  <sheetData>
    <row r="1" spans="1:6" ht="33.75" customHeight="1" x14ac:dyDescent="0.25">
      <c r="A1" s="5" t="s">
        <v>42</v>
      </c>
      <c r="B1" s="5" t="s">
        <v>43</v>
      </c>
      <c r="C1" s="5" t="s">
        <v>44</v>
      </c>
      <c r="D1" s="5" t="s">
        <v>45</v>
      </c>
      <c r="E1" s="5" t="s">
        <v>46</v>
      </c>
      <c r="F1" s="2"/>
    </row>
    <row r="2" spans="1:6" ht="90" x14ac:dyDescent="0.25">
      <c r="A2" s="6" t="s">
        <v>142</v>
      </c>
      <c r="B2" s="6" t="s">
        <v>143</v>
      </c>
      <c r="C2" s="7" t="s">
        <v>144</v>
      </c>
      <c r="D2" s="6">
        <v>3</v>
      </c>
      <c r="E2" s="6"/>
    </row>
    <row r="3" spans="1:6" ht="120" x14ac:dyDescent="0.25">
      <c r="A3" s="31" t="s">
        <v>145</v>
      </c>
      <c r="B3" s="6" t="s">
        <v>146</v>
      </c>
      <c r="C3" s="7" t="s">
        <v>147</v>
      </c>
      <c r="D3" s="6">
        <v>1</v>
      </c>
      <c r="E3" s="6"/>
    </row>
    <row r="4" spans="1:6" ht="60" x14ac:dyDescent="0.25">
      <c r="A4" s="31"/>
      <c r="B4" s="6" t="s">
        <v>148</v>
      </c>
      <c r="C4" s="7" t="s">
        <v>149</v>
      </c>
      <c r="D4" s="6">
        <v>1</v>
      </c>
      <c r="E4" s="6"/>
    </row>
    <row r="5" spans="1:6" ht="60" x14ac:dyDescent="0.25">
      <c r="A5" s="31"/>
      <c r="B5" s="6" t="s">
        <v>150</v>
      </c>
      <c r="C5" s="7" t="s">
        <v>151</v>
      </c>
      <c r="D5" s="6">
        <v>3</v>
      </c>
      <c r="E5" s="6"/>
    </row>
    <row r="6" spans="1:6" ht="45" x14ac:dyDescent="0.25">
      <c r="A6" s="31" t="s">
        <v>152</v>
      </c>
      <c r="B6" s="6" t="s">
        <v>153</v>
      </c>
      <c r="C6" s="7" t="s">
        <v>154</v>
      </c>
      <c r="D6" s="6">
        <v>1</v>
      </c>
      <c r="E6" s="6"/>
    </row>
    <row r="7" spans="1:6" ht="60" x14ac:dyDescent="0.25">
      <c r="A7" s="31"/>
      <c r="B7" s="6" t="s">
        <v>155</v>
      </c>
      <c r="C7" s="7" t="s">
        <v>156</v>
      </c>
      <c r="D7" s="6">
        <v>2</v>
      </c>
      <c r="E7" s="6"/>
    </row>
    <row r="8" spans="1:6" ht="30" x14ac:dyDescent="0.25">
      <c r="A8" s="31"/>
      <c r="B8" s="6" t="s">
        <v>157</v>
      </c>
      <c r="C8" s="7" t="s">
        <v>158</v>
      </c>
      <c r="D8" s="6">
        <v>2</v>
      </c>
      <c r="E8" s="6"/>
    </row>
    <row r="9" spans="1:6" ht="60" x14ac:dyDescent="0.25">
      <c r="A9" s="31"/>
      <c r="B9" s="6" t="s">
        <v>159</v>
      </c>
      <c r="C9" s="7" t="s">
        <v>160</v>
      </c>
      <c r="D9" s="6">
        <v>2</v>
      </c>
      <c r="E9" s="6"/>
    </row>
    <row r="10" spans="1:6" ht="60" x14ac:dyDescent="0.25">
      <c r="A10" s="31"/>
      <c r="B10" s="6" t="s">
        <v>161</v>
      </c>
      <c r="C10" s="7" t="s">
        <v>162</v>
      </c>
      <c r="D10" s="6">
        <v>3</v>
      </c>
      <c r="E10" s="6"/>
    </row>
    <row r="11" spans="1:6" ht="60" x14ac:dyDescent="0.25">
      <c r="A11" s="31" t="s">
        <v>163</v>
      </c>
      <c r="B11" s="6" t="s">
        <v>164</v>
      </c>
      <c r="C11" s="7" t="s">
        <v>165</v>
      </c>
      <c r="D11" s="6">
        <v>1</v>
      </c>
      <c r="E11" s="6"/>
    </row>
    <row r="12" spans="1:6" ht="75" x14ac:dyDescent="0.25">
      <c r="A12" s="31"/>
      <c r="B12" s="6" t="s">
        <v>166</v>
      </c>
      <c r="C12" s="7" t="s">
        <v>167</v>
      </c>
      <c r="D12" s="6">
        <v>1</v>
      </c>
      <c r="E12" s="6"/>
    </row>
    <row r="13" spans="1:6" ht="105" x14ac:dyDescent="0.25">
      <c r="A13" s="31"/>
      <c r="B13" s="6" t="s">
        <v>168</v>
      </c>
      <c r="C13" s="7" t="s">
        <v>169</v>
      </c>
      <c r="D13" s="6">
        <v>2</v>
      </c>
      <c r="E13" s="6"/>
    </row>
    <row r="14" spans="1:6" ht="105" x14ac:dyDescent="0.25">
      <c r="A14" s="31"/>
      <c r="B14" s="6" t="s">
        <v>170</v>
      </c>
      <c r="C14" s="7" t="s">
        <v>171</v>
      </c>
      <c r="D14" s="6">
        <v>2</v>
      </c>
      <c r="E14" s="6"/>
    </row>
    <row r="15" spans="1:6" ht="90" x14ac:dyDescent="0.25">
      <c r="A15" s="31"/>
      <c r="B15" s="6" t="s">
        <v>172</v>
      </c>
      <c r="C15" s="7" t="s">
        <v>173</v>
      </c>
      <c r="D15" s="6">
        <v>2</v>
      </c>
      <c r="E15" s="6"/>
    </row>
    <row r="16" spans="1:6" ht="75" x14ac:dyDescent="0.25">
      <c r="A16" s="31"/>
      <c r="B16" s="6" t="s">
        <v>174</v>
      </c>
      <c r="C16" s="7" t="s">
        <v>175</v>
      </c>
      <c r="D16" s="6">
        <v>2</v>
      </c>
      <c r="E16" s="6"/>
    </row>
    <row r="17" spans="1:5" ht="30" x14ac:dyDescent="0.25">
      <c r="A17" s="31"/>
      <c r="B17" s="6" t="s">
        <v>176</v>
      </c>
      <c r="C17" s="7" t="s">
        <v>177</v>
      </c>
      <c r="D17" s="6">
        <v>3</v>
      </c>
      <c r="E17" s="6"/>
    </row>
    <row r="18" spans="1:5" ht="90" x14ac:dyDescent="0.25">
      <c r="A18" s="31"/>
      <c r="B18" s="6" t="s">
        <v>178</v>
      </c>
      <c r="C18" s="7" t="s">
        <v>179</v>
      </c>
      <c r="D18" s="6">
        <v>3</v>
      </c>
      <c r="E18" s="6"/>
    </row>
    <row r="19" spans="1:5" ht="105" x14ac:dyDescent="0.25">
      <c r="A19" s="31" t="s">
        <v>180</v>
      </c>
      <c r="B19" s="6" t="s">
        <v>181</v>
      </c>
      <c r="C19" s="7" t="s">
        <v>182</v>
      </c>
      <c r="D19" s="6">
        <v>1</v>
      </c>
      <c r="E19" s="6"/>
    </row>
    <row r="20" spans="1:5" ht="90" x14ac:dyDescent="0.25">
      <c r="A20" s="31"/>
      <c r="B20" s="6" t="s">
        <v>183</v>
      </c>
      <c r="C20" s="7" t="s">
        <v>184</v>
      </c>
      <c r="D20" s="6">
        <v>1</v>
      </c>
      <c r="E20" s="6"/>
    </row>
    <row r="21" spans="1:5" ht="105" x14ac:dyDescent="0.25">
      <c r="A21" s="31"/>
      <c r="B21" s="6" t="s">
        <v>185</v>
      </c>
      <c r="C21" s="7" t="s">
        <v>186</v>
      </c>
      <c r="D21" s="6">
        <v>1</v>
      </c>
      <c r="E21" s="6"/>
    </row>
    <row r="22" spans="1:5" ht="60" x14ac:dyDescent="0.25">
      <c r="A22" s="31"/>
      <c r="B22" s="6" t="s">
        <v>187</v>
      </c>
      <c r="C22" s="7" t="s">
        <v>188</v>
      </c>
      <c r="D22" s="6">
        <v>2</v>
      </c>
      <c r="E22" s="6"/>
    </row>
    <row r="23" spans="1:5" ht="45" x14ac:dyDescent="0.25">
      <c r="A23" s="31"/>
      <c r="B23" s="6" t="s">
        <v>189</v>
      </c>
      <c r="C23" s="7" t="s">
        <v>190</v>
      </c>
      <c r="D23" s="6">
        <v>2</v>
      </c>
      <c r="E23" s="6"/>
    </row>
    <row r="24" spans="1:5" ht="30" x14ac:dyDescent="0.25">
      <c r="A24" s="31"/>
      <c r="B24" s="6" t="s">
        <v>191</v>
      </c>
      <c r="C24" s="7" t="s">
        <v>192</v>
      </c>
      <c r="D24" s="6">
        <v>3</v>
      </c>
      <c r="E24" s="6"/>
    </row>
    <row r="25" spans="1:5" ht="45" x14ac:dyDescent="0.25">
      <c r="A25" s="31"/>
      <c r="B25" s="6" t="s">
        <v>193</v>
      </c>
      <c r="C25" s="7" t="s">
        <v>194</v>
      </c>
      <c r="D25" s="6">
        <v>3</v>
      </c>
      <c r="E25" s="6"/>
    </row>
    <row r="26" spans="1:5" ht="105" x14ac:dyDescent="0.25">
      <c r="A26" s="31"/>
      <c r="B26" s="6" t="s">
        <v>195</v>
      </c>
      <c r="C26" s="7" t="s">
        <v>196</v>
      </c>
      <c r="D26" s="6">
        <v>3</v>
      </c>
      <c r="E26" s="6"/>
    </row>
    <row r="27" spans="1:5" ht="75" x14ac:dyDescent="0.25">
      <c r="A27" s="6" t="s">
        <v>197</v>
      </c>
      <c r="B27" s="6" t="s">
        <v>198</v>
      </c>
      <c r="C27" s="7" t="s">
        <v>199</v>
      </c>
      <c r="D27" s="6">
        <v>3</v>
      </c>
      <c r="E27" s="6"/>
    </row>
    <row r="28" spans="1:5" ht="60" x14ac:dyDescent="0.25">
      <c r="A28" s="31" t="s">
        <v>200</v>
      </c>
      <c r="B28" s="6" t="s">
        <v>201</v>
      </c>
      <c r="C28" s="7" t="s">
        <v>202</v>
      </c>
      <c r="D28" s="6">
        <v>2</v>
      </c>
      <c r="E28" s="6"/>
    </row>
    <row r="29" spans="1:5" ht="45" x14ac:dyDescent="0.25">
      <c r="A29" s="31"/>
      <c r="B29" s="6" t="s">
        <v>203</v>
      </c>
      <c r="C29" s="7" t="s">
        <v>204</v>
      </c>
      <c r="D29" s="6">
        <v>2</v>
      </c>
      <c r="E29" s="6"/>
    </row>
    <row r="30" spans="1:5" ht="45" x14ac:dyDescent="0.25">
      <c r="A30" s="31"/>
      <c r="B30" s="6" t="s">
        <v>205</v>
      </c>
      <c r="C30" s="7" t="s">
        <v>206</v>
      </c>
      <c r="D30" s="6">
        <v>3</v>
      </c>
      <c r="E30" s="6"/>
    </row>
    <row r="31" spans="1:5" ht="75" x14ac:dyDescent="0.25">
      <c r="A31" s="31"/>
      <c r="B31" s="6" t="s">
        <v>207</v>
      </c>
      <c r="C31" s="7" t="s">
        <v>208</v>
      </c>
      <c r="D31" s="6">
        <v>3</v>
      </c>
      <c r="E31" s="6"/>
    </row>
    <row r="32" spans="1:5" ht="45" x14ac:dyDescent="0.25">
      <c r="A32" s="31"/>
      <c r="B32" s="6" t="s">
        <v>209</v>
      </c>
      <c r="C32" s="7" t="s">
        <v>210</v>
      </c>
      <c r="D32" s="6">
        <v>3</v>
      </c>
      <c r="E32" s="6"/>
    </row>
    <row r="33" ht="33.75" customHeight="1" x14ac:dyDescent="0.25"/>
    <row r="34" ht="33.75" customHeight="1" x14ac:dyDescent="0.25"/>
    <row r="35" ht="33.75" customHeight="1" x14ac:dyDescent="0.25"/>
    <row r="36" ht="33.75" customHeight="1" x14ac:dyDescent="0.25"/>
    <row r="37" ht="33.75" customHeight="1" x14ac:dyDescent="0.25"/>
    <row r="38" ht="33.75" customHeight="1" x14ac:dyDescent="0.25"/>
    <row r="39" ht="33.75" customHeight="1" x14ac:dyDescent="0.25"/>
    <row r="40" ht="33.75" customHeight="1" x14ac:dyDescent="0.25"/>
    <row r="41" ht="33.75" customHeight="1" x14ac:dyDescent="0.25"/>
    <row r="42" ht="33.75" customHeight="1" x14ac:dyDescent="0.25"/>
    <row r="43" ht="33.75" customHeight="1" x14ac:dyDescent="0.25"/>
    <row r="44" ht="33.75" customHeight="1" x14ac:dyDescent="0.25"/>
    <row r="45" ht="33.75" customHeight="1" x14ac:dyDescent="0.25"/>
    <row r="46" ht="33.75" customHeight="1" x14ac:dyDescent="0.25"/>
    <row r="47" ht="33.75" customHeight="1" x14ac:dyDescent="0.25"/>
    <row r="48" ht="33.75" customHeight="1" x14ac:dyDescent="0.25"/>
    <row r="49" ht="33.75" customHeight="1" x14ac:dyDescent="0.25"/>
    <row r="50" ht="33.75" customHeight="1" x14ac:dyDescent="0.25"/>
    <row r="51" ht="33.75" customHeight="1" x14ac:dyDescent="0.25"/>
    <row r="52" ht="33.75" customHeight="1" x14ac:dyDescent="0.25"/>
  </sheetData>
  <mergeCells count="5">
    <mergeCell ref="A28:A32"/>
    <mergeCell ref="A3:A5"/>
    <mergeCell ref="A6:A10"/>
    <mergeCell ref="A11:A18"/>
    <mergeCell ref="A19:A26"/>
  </mergeCells>
  <dataValidations count="1">
    <dataValidation type="list" allowBlank="1" showInputMessage="1" showErrorMessage="1" sqref="E2:E32" xr:uid="{F49515DF-69DD-4CD0-BFCF-3AD774AE8484}">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2" id="{D845A59E-F857-4F10-9BAC-F3367933976D}">
            <xm:f>IF(STATISTICS!$K$4=FALSE, TRUE, FALSE)</xm:f>
            <x14:dxf>
              <font>
                <strike/>
              </font>
            </x14:dxf>
          </x14:cfRule>
          <xm:sqref>B2:E2 B5:E5 B10:E10 B17:E18 B24:E27 B30:E32</xm:sqref>
        </x14:conditionalFormatting>
        <x14:conditionalFormatting xmlns:xm="http://schemas.microsoft.com/office/excel/2006/main">
          <x14:cfRule type="expression" priority="31" id="{D845A59E-F857-4F10-9BAC-F3367933976D}">
            <xm:f>IF(STATISTICS!$I$4=FALSE, TRUE, FALSE)</xm:f>
            <x14:dxf>
              <font>
                <strike/>
              </font>
            </x14:dxf>
          </x14:cfRule>
          <xm:sqref>B3:E4 B6:E6 B11:E12 B19:E21</xm:sqref>
        </x14:conditionalFormatting>
        <x14:conditionalFormatting xmlns:xm="http://schemas.microsoft.com/office/excel/2006/main">
          <x14:cfRule type="expression" priority="27" id="{B9326EF2-1224-4BD6-A7B2-FB321FDFE1A1}">
            <xm:f>IF(STATISTICS!$J$4=FALSE, TRUE, FALSE)</xm:f>
            <x14:dxf>
              <font>
                <strike/>
              </font>
            </x14:dxf>
          </x14:cfRule>
          <xm:sqref>B7:E9 B13:E16 B22:E23 B28:E29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BBF719-3690-46B0-B952-1B174412744E}">
  <dimension ref="A1:F52"/>
  <sheetViews>
    <sheetView workbookViewId="0"/>
  </sheetViews>
  <sheetFormatPr defaultRowHeight="15" x14ac:dyDescent="0.25"/>
  <cols>
    <col min="1" max="1" width="31.140625" style="1" customWidth="1"/>
    <col min="2" max="2" width="21.85546875" style="1" customWidth="1"/>
    <col min="3" max="3" width="69.85546875" style="1" customWidth="1"/>
    <col min="4" max="4" width="13.7109375" style="1" customWidth="1"/>
    <col min="5" max="5" width="19.7109375" style="1" customWidth="1"/>
    <col min="6" max="16384" width="9.140625" style="1"/>
  </cols>
  <sheetData>
    <row r="1" spans="1:6" ht="33.75" customHeight="1" x14ac:dyDescent="0.25">
      <c r="A1" s="5" t="s">
        <v>42</v>
      </c>
      <c r="B1" s="5" t="s">
        <v>43</v>
      </c>
      <c r="C1" s="5" t="s">
        <v>44</v>
      </c>
      <c r="D1" s="5" t="s">
        <v>45</v>
      </c>
      <c r="E1" s="5" t="s">
        <v>46</v>
      </c>
      <c r="F1" s="2"/>
    </row>
    <row r="2" spans="1:6" ht="60" x14ac:dyDescent="0.25">
      <c r="A2" s="31" t="s">
        <v>211</v>
      </c>
      <c r="B2" s="6" t="s">
        <v>212</v>
      </c>
      <c r="C2" s="7" t="s">
        <v>213</v>
      </c>
      <c r="D2" s="6">
        <v>1</v>
      </c>
      <c r="E2" s="6"/>
    </row>
    <row r="3" spans="1:6" ht="90" x14ac:dyDescent="0.25">
      <c r="A3" s="31"/>
      <c r="B3" s="6" t="s">
        <v>214</v>
      </c>
      <c r="C3" s="7" t="s">
        <v>215</v>
      </c>
      <c r="D3" s="6">
        <v>2</v>
      </c>
      <c r="E3" s="6"/>
    </row>
    <row r="4" spans="1:6" ht="60" x14ac:dyDescent="0.25">
      <c r="A4" s="31"/>
      <c r="B4" s="6" t="s">
        <v>216</v>
      </c>
      <c r="C4" s="7" t="s">
        <v>217</v>
      </c>
      <c r="D4" s="6">
        <v>2</v>
      </c>
      <c r="E4" s="6"/>
    </row>
    <row r="5" spans="1:6" ht="45" x14ac:dyDescent="0.25">
      <c r="A5" s="31"/>
      <c r="B5" s="6" t="s">
        <v>218</v>
      </c>
      <c r="C5" s="7" t="s">
        <v>219</v>
      </c>
      <c r="D5" s="6">
        <v>3</v>
      </c>
      <c r="E5" s="6"/>
    </row>
    <row r="6" spans="1:6" ht="45" x14ac:dyDescent="0.25">
      <c r="A6" s="31"/>
      <c r="B6" s="6" t="s">
        <v>220</v>
      </c>
      <c r="C6" s="7" t="s">
        <v>221</v>
      </c>
      <c r="D6" s="6">
        <v>3</v>
      </c>
      <c r="E6" s="6"/>
    </row>
    <row r="7" spans="1:6" ht="105" x14ac:dyDescent="0.25">
      <c r="A7" s="31" t="s">
        <v>222</v>
      </c>
      <c r="B7" s="6" t="s">
        <v>223</v>
      </c>
      <c r="C7" s="7" t="s">
        <v>224</v>
      </c>
      <c r="D7" s="6">
        <v>2</v>
      </c>
      <c r="E7" s="6"/>
    </row>
    <row r="8" spans="1:6" ht="45" x14ac:dyDescent="0.25">
      <c r="A8" s="31"/>
      <c r="B8" s="6" t="s">
        <v>225</v>
      </c>
      <c r="C8" s="7" t="s">
        <v>226</v>
      </c>
      <c r="D8" s="6">
        <v>3</v>
      </c>
      <c r="E8" s="6"/>
    </row>
    <row r="9" spans="1:6" ht="45" x14ac:dyDescent="0.25">
      <c r="A9" s="31"/>
      <c r="B9" s="6" t="s">
        <v>227</v>
      </c>
      <c r="C9" s="7" t="s">
        <v>228</v>
      </c>
      <c r="D9" s="6">
        <v>3</v>
      </c>
      <c r="E9" s="6"/>
    </row>
    <row r="10" spans="1:6" ht="45" x14ac:dyDescent="0.25">
      <c r="A10" s="31"/>
      <c r="B10" s="6" t="s">
        <v>229</v>
      </c>
      <c r="C10" s="7" t="s">
        <v>230</v>
      </c>
      <c r="D10" s="6">
        <v>3</v>
      </c>
      <c r="E10" s="6"/>
    </row>
    <row r="11" spans="1:6" ht="105" x14ac:dyDescent="0.25">
      <c r="A11" s="31"/>
      <c r="B11" s="6" t="s">
        <v>231</v>
      </c>
      <c r="C11" s="7" t="s">
        <v>232</v>
      </c>
      <c r="D11" s="6">
        <v>3</v>
      </c>
      <c r="E11" s="6"/>
    </row>
    <row r="12" spans="1:6" ht="45" x14ac:dyDescent="0.25">
      <c r="A12" s="31" t="s">
        <v>233</v>
      </c>
      <c r="B12" s="6" t="s">
        <v>234</v>
      </c>
      <c r="C12" s="7" t="s">
        <v>235</v>
      </c>
      <c r="D12" s="6">
        <v>2</v>
      </c>
      <c r="E12" s="6"/>
    </row>
    <row r="13" spans="1:6" ht="30" x14ac:dyDescent="0.25">
      <c r="A13" s="31"/>
      <c r="B13" s="6" t="s">
        <v>236</v>
      </c>
      <c r="C13" s="7" t="s">
        <v>237</v>
      </c>
      <c r="D13" s="6">
        <v>2</v>
      </c>
      <c r="E13" s="6"/>
    </row>
    <row r="14" spans="1:6" ht="30" x14ac:dyDescent="0.25">
      <c r="A14" s="31" t="s">
        <v>238</v>
      </c>
      <c r="B14" s="6" t="s">
        <v>239</v>
      </c>
      <c r="C14" s="7" t="s">
        <v>240</v>
      </c>
      <c r="D14" s="6">
        <v>1</v>
      </c>
      <c r="E14" s="6"/>
    </row>
    <row r="15" spans="1:6" ht="30" x14ac:dyDescent="0.25">
      <c r="A15" s="31"/>
      <c r="B15" s="6" t="s">
        <v>241</v>
      </c>
      <c r="C15" s="7" t="s">
        <v>242</v>
      </c>
      <c r="D15" s="6">
        <v>2</v>
      </c>
      <c r="E15" s="6"/>
    </row>
    <row r="16" spans="1:6" ht="45" x14ac:dyDescent="0.25">
      <c r="A16" s="31"/>
      <c r="B16" s="6" t="s">
        <v>243</v>
      </c>
      <c r="C16" s="7" t="s">
        <v>244</v>
      </c>
      <c r="D16" s="6">
        <v>2</v>
      </c>
      <c r="E16" s="6"/>
    </row>
    <row r="17" spans="1:5" ht="45" x14ac:dyDescent="0.25">
      <c r="A17" s="31"/>
      <c r="B17" s="6" t="s">
        <v>245</v>
      </c>
      <c r="C17" s="7" t="s">
        <v>246</v>
      </c>
      <c r="D17" s="6">
        <v>2</v>
      </c>
      <c r="E17" s="6"/>
    </row>
    <row r="18" spans="1:5" x14ac:dyDescent="0.25">
      <c r="A18" s="12"/>
      <c r="B18" s="6"/>
      <c r="C18" s="7"/>
      <c r="D18" s="6"/>
      <c r="E18" s="6"/>
    </row>
    <row r="19" spans="1:5" x14ac:dyDescent="0.25">
      <c r="A19" s="12"/>
      <c r="B19" s="6"/>
      <c r="C19" s="7"/>
      <c r="D19" s="6"/>
      <c r="E19" s="6"/>
    </row>
    <row r="20" spans="1:5" x14ac:dyDescent="0.25">
      <c r="A20" s="12"/>
      <c r="B20" s="6"/>
      <c r="C20" s="7"/>
      <c r="D20" s="6"/>
      <c r="E20" s="6"/>
    </row>
    <row r="21" spans="1:5" x14ac:dyDescent="0.25">
      <c r="A21" s="12"/>
      <c r="B21" s="6"/>
      <c r="C21" s="7"/>
      <c r="D21" s="6"/>
      <c r="E21" s="6"/>
    </row>
    <row r="22" spans="1:5" x14ac:dyDescent="0.25">
      <c r="A22" s="12"/>
      <c r="B22" s="6"/>
      <c r="C22" s="7"/>
      <c r="D22" s="6"/>
      <c r="E22" s="6"/>
    </row>
    <row r="23" spans="1:5" x14ac:dyDescent="0.25">
      <c r="A23" s="12"/>
      <c r="B23" s="6"/>
      <c r="C23" s="7"/>
      <c r="D23" s="6"/>
      <c r="E23" s="6"/>
    </row>
    <row r="24" spans="1:5" x14ac:dyDescent="0.25">
      <c r="A24" s="12"/>
      <c r="B24" s="6"/>
      <c r="C24" s="7"/>
      <c r="D24" s="6"/>
      <c r="E24" s="6"/>
    </row>
    <row r="25" spans="1:5" x14ac:dyDescent="0.25">
      <c r="A25" s="12"/>
      <c r="B25" s="6"/>
      <c r="C25" s="7"/>
      <c r="D25" s="6"/>
      <c r="E25" s="6"/>
    </row>
    <row r="26" spans="1:5" x14ac:dyDescent="0.25">
      <c r="A26" s="12"/>
      <c r="B26" s="6"/>
      <c r="C26" s="7"/>
      <c r="D26" s="6"/>
      <c r="E26" s="6"/>
    </row>
    <row r="27" spans="1:5" x14ac:dyDescent="0.25">
      <c r="A27" s="12"/>
      <c r="B27" s="6"/>
      <c r="C27" s="7"/>
      <c r="D27" s="6"/>
      <c r="E27" s="6"/>
    </row>
    <row r="28" spans="1:5" x14ac:dyDescent="0.25">
      <c r="A28" s="12"/>
      <c r="B28" s="6"/>
      <c r="C28" s="7"/>
      <c r="D28" s="6"/>
      <c r="E28" s="6"/>
    </row>
    <row r="29" spans="1:5" x14ac:dyDescent="0.25">
      <c r="A29" s="12"/>
      <c r="B29" s="6"/>
      <c r="C29" s="7"/>
      <c r="D29" s="6"/>
      <c r="E29" s="6"/>
    </row>
    <row r="30" spans="1:5" x14ac:dyDescent="0.25">
      <c r="A30" s="12"/>
      <c r="B30" s="6"/>
      <c r="C30" s="7"/>
      <c r="D30" s="6"/>
      <c r="E30" s="6"/>
    </row>
    <row r="31" spans="1:5" x14ac:dyDescent="0.25">
      <c r="A31" s="12"/>
      <c r="B31" s="6"/>
      <c r="C31" s="7"/>
      <c r="D31" s="6"/>
      <c r="E31" s="6"/>
    </row>
    <row r="32" spans="1:5" x14ac:dyDescent="0.25">
      <c r="A32" s="12"/>
      <c r="B32" s="6"/>
      <c r="C32" s="7"/>
      <c r="D32" s="6"/>
      <c r="E32" s="6"/>
    </row>
    <row r="33" spans="1:1" ht="33.75" customHeight="1" x14ac:dyDescent="0.25">
      <c r="A33" s="4"/>
    </row>
    <row r="34" spans="1:1" ht="33.75" customHeight="1" x14ac:dyDescent="0.25">
      <c r="A34" s="4"/>
    </row>
    <row r="35" spans="1:1" ht="33.75" customHeight="1" x14ac:dyDescent="0.25"/>
    <row r="36" spans="1:1" ht="33.75" customHeight="1" x14ac:dyDescent="0.25"/>
    <row r="37" spans="1:1" ht="33.75" customHeight="1" x14ac:dyDescent="0.25"/>
    <row r="38" spans="1:1" ht="33.75" customHeight="1" x14ac:dyDescent="0.25"/>
    <row r="39" spans="1:1" ht="33.75" customHeight="1" x14ac:dyDescent="0.25"/>
    <row r="40" spans="1:1" ht="33.75" customHeight="1" x14ac:dyDescent="0.25"/>
    <row r="41" spans="1:1" ht="33.75" customHeight="1" x14ac:dyDescent="0.25"/>
    <row r="42" spans="1:1" ht="33.75" customHeight="1" x14ac:dyDescent="0.25"/>
    <row r="43" spans="1:1" ht="33.75" customHeight="1" x14ac:dyDescent="0.25"/>
    <row r="44" spans="1:1" ht="33.75" customHeight="1" x14ac:dyDescent="0.25"/>
    <row r="45" spans="1:1" ht="33.75" customHeight="1" x14ac:dyDescent="0.25"/>
    <row r="46" spans="1:1" ht="33.75" customHeight="1" x14ac:dyDescent="0.25"/>
    <row r="47" spans="1:1" ht="33.75" customHeight="1" x14ac:dyDescent="0.25"/>
    <row r="48" spans="1:1" ht="33.75" customHeight="1" x14ac:dyDescent="0.25"/>
    <row r="49" ht="33.75" customHeight="1" x14ac:dyDescent="0.25"/>
    <row r="50" ht="33.75" customHeight="1" x14ac:dyDescent="0.25"/>
    <row r="51" ht="33.75" customHeight="1" x14ac:dyDescent="0.25"/>
    <row r="52" ht="33.75" customHeight="1" x14ac:dyDescent="0.25"/>
  </sheetData>
  <mergeCells count="4">
    <mergeCell ref="A2:A6"/>
    <mergeCell ref="A7:A11"/>
    <mergeCell ref="A12:A13"/>
    <mergeCell ref="A14:A17"/>
  </mergeCells>
  <dataValidations count="1">
    <dataValidation type="list" allowBlank="1" showInputMessage="1" showErrorMessage="1" sqref="E2:E17" xr:uid="{8A8143CA-4107-412F-89F9-5C81EDD0DA27}">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5" id="{6AFA4291-8F42-4B82-86C6-B2FCE223AAE5}">
            <xm:f>IF(STATISTICS!$I$4=FALSE, TRUE, FALSE)</xm:f>
            <x14:dxf>
              <font>
                <strike/>
              </font>
            </x14:dxf>
          </x14:cfRule>
          <xm:sqref>B2:E2 B14:E14</xm:sqref>
        </x14:conditionalFormatting>
        <x14:conditionalFormatting xmlns:xm="http://schemas.microsoft.com/office/excel/2006/main">
          <x14:cfRule type="expression" priority="41" id="{AC481D3F-5710-45FF-923A-CA893954B3A2}">
            <xm:f>IF(STATISTICS!$J$4=FALSE, TRUE, FALSE)</xm:f>
            <x14:dxf>
              <font>
                <strike/>
              </font>
            </x14:dxf>
          </x14:cfRule>
          <xm:sqref>B3:E4 B7:E7 B12:E13 B15:E17</xm:sqref>
        </x14:conditionalFormatting>
        <x14:conditionalFormatting xmlns:xm="http://schemas.microsoft.com/office/excel/2006/main">
          <x14:cfRule type="expression" priority="2" id="{6AFA4291-8F42-4B82-86C6-B2FCE223AAE5}">
            <xm:f>IF(STATISTICS!$K$4=FALSE, TRUE, FALSE)</xm:f>
            <x14:dxf>
              <font>
                <strike/>
              </font>
            </x14:dxf>
          </x14:cfRule>
          <xm:sqref>B5:E6 B8:E11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2094B-0E1E-41F6-BA5F-F29D29ED06E9}">
  <dimension ref="A1:F52"/>
  <sheetViews>
    <sheetView workbookViewId="0"/>
  </sheetViews>
  <sheetFormatPr defaultRowHeight="15" x14ac:dyDescent="0.25"/>
  <cols>
    <col min="1" max="1" width="31.140625" style="1" customWidth="1"/>
    <col min="2" max="2" width="21.85546875" style="1" customWidth="1"/>
    <col min="3" max="3" width="69.85546875" style="1" customWidth="1"/>
    <col min="4" max="4" width="13.7109375" style="1" customWidth="1"/>
    <col min="5" max="5" width="19.7109375" style="1" customWidth="1"/>
    <col min="6" max="16384" width="9.140625" style="1"/>
  </cols>
  <sheetData>
    <row r="1" spans="1:6" ht="33.75" customHeight="1" x14ac:dyDescent="0.25">
      <c r="A1" s="5" t="s">
        <v>42</v>
      </c>
      <c r="B1" s="5" t="s">
        <v>43</v>
      </c>
      <c r="C1" s="5" t="s">
        <v>44</v>
      </c>
      <c r="D1" s="5" t="s">
        <v>45</v>
      </c>
      <c r="E1" s="5" t="s">
        <v>46</v>
      </c>
      <c r="F1" s="2"/>
    </row>
    <row r="2" spans="1:6" ht="75" x14ac:dyDescent="0.25">
      <c r="A2" s="6" t="s">
        <v>247</v>
      </c>
      <c r="B2" s="6" t="s">
        <v>248</v>
      </c>
      <c r="C2" s="7" t="s">
        <v>249</v>
      </c>
      <c r="D2" s="6">
        <v>2</v>
      </c>
      <c r="E2" s="6"/>
    </row>
    <row r="3" spans="1:6" ht="30" x14ac:dyDescent="0.25">
      <c r="A3" s="31" t="s">
        <v>250</v>
      </c>
      <c r="B3" s="6" t="s">
        <v>251</v>
      </c>
      <c r="C3" s="7" t="s">
        <v>252</v>
      </c>
      <c r="D3" s="6">
        <v>1</v>
      </c>
      <c r="E3" s="6"/>
    </row>
    <row r="4" spans="1:6" ht="120" x14ac:dyDescent="0.25">
      <c r="A4" s="31"/>
      <c r="B4" s="6" t="s">
        <v>253</v>
      </c>
      <c r="C4" s="7" t="s">
        <v>254</v>
      </c>
      <c r="D4" s="6">
        <v>1</v>
      </c>
      <c r="E4" s="6"/>
    </row>
    <row r="5" spans="1:6" ht="45" x14ac:dyDescent="0.25">
      <c r="A5" s="31"/>
      <c r="B5" s="6" t="s">
        <v>255</v>
      </c>
      <c r="C5" s="7" t="s">
        <v>256</v>
      </c>
      <c r="D5" s="6">
        <v>2</v>
      </c>
      <c r="E5" s="6"/>
    </row>
    <row r="6" spans="1:6" ht="45" x14ac:dyDescent="0.25">
      <c r="A6" s="31"/>
      <c r="B6" s="6" t="s">
        <v>257</v>
      </c>
      <c r="C6" s="7" t="s">
        <v>258</v>
      </c>
      <c r="D6" s="6">
        <v>3</v>
      </c>
      <c r="E6" s="6"/>
    </row>
    <row r="7" spans="1:6" ht="45" x14ac:dyDescent="0.25">
      <c r="A7" s="31"/>
      <c r="B7" s="6" t="s">
        <v>259</v>
      </c>
      <c r="C7" s="7" t="s">
        <v>260</v>
      </c>
      <c r="D7" s="6">
        <v>3</v>
      </c>
      <c r="E7" s="6"/>
    </row>
    <row r="8" spans="1:6" ht="30" x14ac:dyDescent="0.25">
      <c r="A8" s="31"/>
      <c r="B8" s="6" t="s">
        <v>261</v>
      </c>
      <c r="C8" s="7" t="s">
        <v>262</v>
      </c>
      <c r="D8" s="6">
        <v>3</v>
      </c>
      <c r="E8" s="6"/>
    </row>
    <row r="9" spans="1:6" ht="45" x14ac:dyDescent="0.25">
      <c r="A9" s="31" t="s">
        <v>263</v>
      </c>
      <c r="B9" s="6" t="s">
        <v>264</v>
      </c>
      <c r="C9" s="7" t="s">
        <v>265</v>
      </c>
      <c r="D9" s="6">
        <v>1</v>
      </c>
      <c r="E9" s="6"/>
    </row>
    <row r="10" spans="1:6" ht="90" x14ac:dyDescent="0.25">
      <c r="A10" s="31"/>
      <c r="B10" s="6" t="s">
        <v>266</v>
      </c>
      <c r="C10" s="7" t="s">
        <v>267</v>
      </c>
      <c r="D10" s="6">
        <v>1</v>
      </c>
      <c r="E10" s="6"/>
    </row>
    <row r="11" spans="1:6" ht="30" x14ac:dyDescent="0.25">
      <c r="A11" s="31"/>
      <c r="B11" s="6" t="s">
        <v>268</v>
      </c>
      <c r="C11" s="7" t="s">
        <v>269</v>
      </c>
      <c r="D11" s="6">
        <v>3</v>
      </c>
      <c r="E11" s="6"/>
    </row>
    <row r="12" spans="1:6" ht="45" x14ac:dyDescent="0.25">
      <c r="A12" s="31" t="s">
        <v>270</v>
      </c>
      <c r="B12" s="6" t="s">
        <v>271</v>
      </c>
      <c r="C12" s="7" t="s">
        <v>272</v>
      </c>
      <c r="D12" s="6">
        <v>2</v>
      </c>
      <c r="E12" s="6"/>
    </row>
    <row r="13" spans="1:6" ht="45" x14ac:dyDescent="0.25">
      <c r="A13" s="31"/>
      <c r="B13" s="6" t="s">
        <v>273</v>
      </c>
      <c r="C13" s="7" t="s">
        <v>274</v>
      </c>
      <c r="D13" s="6">
        <v>2</v>
      </c>
      <c r="E13" s="6"/>
    </row>
    <row r="14" spans="1:6" ht="30" x14ac:dyDescent="0.25">
      <c r="A14" s="31"/>
      <c r="B14" s="6" t="s">
        <v>275</v>
      </c>
      <c r="C14" s="7" t="s">
        <v>276</v>
      </c>
      <c r="D14" s="6">
        <v>2</v>
      </c>
      <c r="E14" s="6"/>
    </row>
    <row r="15" spans="1:6" x14ac:dyDescent="0.25">
      <c r="A15" s="12"/>
      <c r="B15" s="6"/>
      <c r="C15" s="7"/>
      <c r="D15" s="6"/>
      <c r="E15" s="6"/>
    </row>
    <row r="16" spans="1:6" x14ac:dyDescent="0.25">
      <c r="A16" s="12"/>
      <c r="B16" s="6"/>
      <c r="C16" s="7"/>
      <c r="D16" s="6"/>
      <c r="E16" s="6"/>
    </row>
    <row r="17" spans="1:5" x14ac:dyDescent="0.25">
      <c r="A17" s="12"/>
      <c r="B17" s="6"/>
      <c r="C17" s="7"/>
      <c r="D17" s="6"/>
      <c r="E17" s="6"/>
    </row>
    <row r="18" spans="1:5" x14ac:dyDescent="0.25">
      <c r="A18" s="12"/>
      <c r="B18" s="6"/>
      <c r="C18" s="7"/>
      <c r="D18" s="6"/>
      <c r="E18" s="6"/>
    </row>
    <row r="19" spans="1:5" x14ac:dyDescent="0.25">
      <c r="A19" s="12"/>
      <c r="B19" s="6"/>
      <c r="C19" s="7"/>
      <c r="D19" s="6"/>
      <c r="E19" s="6"/>
    </row>
    <row r="20" spans="1:5" x14ac:dyDescent="0.25">
      <c r="A20" s="12"/>
      <c r="B20" s="6"/>
      <c r="C20" s="7"/>
      <c r="D20" s="6"/>
      <c r="E20" s="6"/>
    </row>
    <row r="21" spans="1:5" x14ac:dyDescent="0.25">
      <c r="A21" s="12"/>
      <c r="B21" s="6"/>
      <c r="C21" s="7"/>
      <c r="D21" s="6"/>
      <c r="E21" s="6"/>
    </row>
    <row r="22" spans="1:5" x14ac:dyDescent="0.25">
      <c r="A22" s="12"/>
      <c r="B22" s="6"/>
      <c r="C22" s="7"/>
      <c r="D22" s="6"/>
      <c r="E22" s="6"/>
    </row>
    <row r="23" spans="1:5" x14ac:dyDescent="0.25">
      <c r="A23" s="12"/>
      <c r="B23" s="6"/>
      <c r="C23" s="7"/>
      <c r="D23" s="6"/>
      <c r="E23" s="6"/>
    </row>
    <row r="24" spans="1:5" x14ac:dyDescent="0.25">
      <c r="A24" s="12"/>
      <c r="B24" s="6"/>
      <c r="C24" s="7"/>
      <c r="D24" s="6"/>
      <c r="E24" s="6"/>
    </row>
    <row r="25" spans="1:5" x14ac:dyDescent="0.25">
      <c r="A25" s="12"/>
      <c r="B25" s="6"/>
      <c r="C25" s="7"/>
      <c r="D25" s="6"/>
      <c r="E25" s="6"/>
    </row>
    <row r="26" spans="1:5" x14ac:dyDescent="0.25">
      <c r="A26" s="12"/>
      <c r="B26" s="6"/>
      <c r="C26" s="7"/>
      <c r="D26" s="6"/>
      <c r="E26" s="6"/>
    </row>
    <row r="27" spans="1:5" x14ac:dyDescent="0.25">
      <c r="A27" s="12"/>
      <c r="B27" s="6"/>
      <c r="C27" s="7"/>
      <c r="D27" s="6"/>
      <c r="E27" s="6"/>
    </row>
    <row r="28" spans="1:5" x14ac:dyDescent="0.25">
      <c r="A28" s="12"/>
      <c r="B28" s="6"/>
      <c r="C28" s="7"/>
      <c r="D28" s="6"/>
      <c r="E28" s="6"/>
    </row>
    <row r="29" spans="1:5" x14ac:dyDescent="0.25">
      <c r="A29" s="12"/>
      <c r="B29" s="6"/>
      <c r="C29" s="7"/>
      <c r="D29" s="6"/>
      <c r="E29" s="6"/>
    </row>
    <row r="30" spans="1:5" x14ac:dyDescent="0.25">
      <c r="A30" s="12"/>
      <c r="B30" s="6"/>
      <c r="C30" s="7"/>
      <c r="D30" s="6"/>
      <c r="E30" s="6"/>
    </row>
    <row r="31" spans="1:5" x14ac:dyDescent="0.25">
      <c r="A31" s="12"/>
      <c r="B31" s="6"/>
      <c r="C31" s="7"/>
      <c r="D31" s="6"/>
      <c r="E31" s="6"/>
    </row>
    <row r="32" spans="1:5" x14ac:dyDescent="0.25">
      <c r="A32" s="12"/>
      <c r="B32" s="6"/>
      <c r="C32" s="7"/>
      <c r="D32" s="6"/>
      <c r="E32" s="6"/>
    </row>
    <row r="33" spans="1:1" ht="33.75" customHeight="1" x14ac:dyDescent="0.25">
      <c r="A33" s="4"/>
    </row>
    <row r="34" spans="1:1" ht="33.75" customHeight="1" x14ac:dyDescent="0.25">
      <c r="A34" s="4"/>
    </row>
    <row r="35" spans="1:1" ht="33.75" customHeight="1" x14ac:dyDescent="0.25"/>
    <row r="36" spans="1:1" ht="33.75" customHeight="1" x14ac:dyDescent="0.25"/>
    <row r="37" spans="1:1" ht="33.75" customHeight="1" x14ac:dyDescent="0.25"/>
    <row r="38" spans="1:1" ht="33.75" customHeight="1" x14ac:dyDescent="0.25"/>
    <row r="39" spans="1:1" ht="33.75" customHeight="1" x14ac:dyDescent="0.25"/>
    <row r="40" spans="1:1" ht="33.75" customHeight="1" x14ac:dyDescent="0.25"/>
    <row r="41" spans="1:1" ht="33.75" customHeight="1" x14ac:dyDescent="0.25"/>
    <row r="42" spans="1:1" ht="33.75" customHeight="1" x14ac:dyDescent="0.25"/>
    <row r="43" spans="1:1" ht="33.75" customHeight="1" x14ac:dyDescent="0.25"/>
    <row r="44" spans="1:1" ht="33.75" customHeight="1" x14ac:dyDescent="0.25"/>
    <row r="45" spans="1:1" ht="33.75" customHeight="1" x14ac:dyDescent="0.25"/>
    <row r="46" spans="1:1" ht="33.75" customHeight="1" x14ac:dyDescent="0.25"/>
    <row r="47" spans="1:1" ht="33.75" customHeight="1" x14ac:dyDescent="0.25"/>
    <row r="48" spans="1:1" ht="33.75" customHeight="1" x14ac:dyDescent="0.25"/>
    <row r="49" ht="33.75" customHeight="1" x14ac:dyDescent="0.25"/>
    <row r="50" ht="33.75" customHeight="1" x14ac:dyDescent="0.25"/>
    <row r="51" ht="33.75" customHeight="1" x14ac:dyDescent="0.25"/>
    <row r="52" ht="33.75" customHeight="1" x14ac:dyDescent="0.25"/>
  </sheetData>
  <mergeCells count="3">
    <mergeCell ref="A3:A8"/>
    <mergeCell ref="A9:A11"/>
    <mergeCell ref="A12:A14"/>
  </mergeCells>
  <dataValidations count="1">
    <dataValidation type="list" allowBlank="1" showInputMessage="1" showErrorMessage="1" sqref="E2:E14" xr:uid="{D65C198B-AC35-4956-862E-992EC8211E15}">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9" id="{129196C0-E541-4F40-9605-4DFAF8AFBD1E}">
            <xm:f>IF(STATISTICS!$J$4=FALSE, TRUE, FALSE)</xm:f>
            <x14:dxf>
              <font>
                <strike/>
              </font>
            </x14:dxf>
          </x14:cfRule>
          <xm:sqref>B2:E2 B5:E5 B12:E14</xm:sqref>
        </x14:conditionalFormatting>
        <x14:conditionalFormatting xmlns:xm="http://schemas.microsoft.com/office/excel/2006/main">
          <x14:cfRule type="expression" priority="52" id="{971E44AA-BB34-4735-8164-75F359DE63ED}">
            <xm:f>IF(STATISTICS!$I$4=FALSE, TRUE, FALSE)</xm:f>
            <x14:dxf>
              <font>
                <strike/>
              </font>
            </x14:dxf>
          </x14:cfRule>
          <xm:sqref>B3:E4 B9:E10</xm:sqref>
        </x14:conditionalFormatting>
        <x14:conditionalFormatting xmlns:xm="http://schemas.microsoft.com/office/excel/2006/main">
          <x14:cfRule type="expression" priority="2" id="{971E44AA-BB34-4735-8164-75F359DE63ED}">
            <xm:f>IF(STATISTICS!$K$4=FALSE, TRUE, FALSE)</xm:f>
            <x14:dxf>
              <font>
                <strike/>
              </font>
            </x14:dxf>
          </x14:cfRule>
          <xm:sqref>B6:E8 B11:E11</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6C29A-B363-47C6-8580-544B4C38EB0E}">
  <dimension ref="A1:F48"/>
  <sheetViews>
    <sheetView topLeftCell="A2" workbookViewId="0"/>
  </sheetViews>
  <sheetFormatPr defaultRowHeight="15" x14ac:dyDescent="0.2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x14ac:dyDescent="0.25">
      <c r="A1" s="5" t="s">
        <v>42</v>
      </c>
      <c r="B1" s="5" t="s">
        <v>43</v>
      </c>
      <c r="C1" s="5" t="s">
        <v>44</v>
      </c>
      <c r="D1" s="5" t="s">
        <v>45</v>
      </c>
      <c r="E1" s="5" t="s">
        <v>46</v>
      </c>
      <c r="F1" s="14"/>
    </row>
    <row r="2" spans="1:6" s="6" customFormat="1" ht="75" x14ac:dyDescent="0.25">
      <c r="A2" s="31" t="s">
        <v>277</v>
      </c>
      <c r="B2" s="6" t="s">
        <v>278</v>
      </c>
      <c r="C2" s="7" t="s">
        <v>279</v>
      </c>
      <c r="D2" s="6">
        <v>1</v>
      </c>
    </row>
    <row r="3" spans="1:6" s="6" customFormat="1" ht="60" x14ac:dyDescent="0.25">
      <c r="A3" s="31"/>
      <c r="B3" s="6" t="s">
        <v>280</v>
      </c>
      <c r="C3" s="7" t="s">
        <v>281</v>
      </c>
      <c r="D3" s="6">
        <v>2</v>
      </c>
    </row>
    <row r="4" spans="1:6" s="6" customFormat="1" ht="45" x14ac:dyDescent="0.25">
      <c r="A4" s="31"/>
      <c r="B4" s="6" t="s">
        <v>282</v>
      </c>
      <c r="C4" s="7" t="s">
        <v>283</v>
      </c>
      <c r="D4" s="6">
        <v>2</v>
      </c>
    </row>
    <row r="5" spans="1:6" s="6" customFormat="1" ht="30" x14ac:dyDescent="0.25">
      <c r="A5" s="31" t="s">
        <v>284</v>
      </c>
      <c r="B5" s="6" t="s">
        <v>285</v>
      </c>
      <c r="C5" s="7" t="s">
        <v>286</v>
      </c>
      <c r="D5" s="6">
        <v>1</v>
      </c>
    </row>
    <row r="6" spans="1:6" s="6" customFormat="1" x14ac:dyDescent="0.25">
      <c r="A6" s="31"/>
      <c r="B6" s="6" t="s">
        <v>287</v>
      </c>
      <c r="C6" s="7" t="s">
        <v>288</v>
      </c>
      <c r="D6" s="6">
        <v>1</v>
      </c>
    </row>
    <row r="7" spans="1:6" s="6" customFormat="1" ht="30" x14ac:dyDescent="0.25">
      <c r="A7" s="31"/>
      <c r="B7" s="6" t="s">
        <v>289</v>
      </c>
      <c r="C7" s="7" t="s">
        <v>290</v>
      </c>
      <c r="D7" s="6">
        <v>1</v>
      </c>
    </row>
    <row r="8" spans="1:6" s="6" customFormat="1" ht="60" x14ac:dyDescent="0.25">
      <c r="A8" s="31"/>
      <c r="B8" s="6" t="s">
        <v>291</v>
      </c>
      <c r="C8" s="7" t="s">
        <v>292</v>
      </c>
      <c r="D8" s="6">
        <v>1</v>
      </c>
    </row>
    <row r="9" spans="1:6" s="6" customFormat="1" ht="60" x14ac:dyDescent="0.25">
      <c r="A9" s="31"/>
      <c r="B9" s="6" t="s">
        <v>293</v>
      </c>
      <c r="C9" s="7" t="s">
        <v>294</v>
      </c>
      <c r="D9" s="6">
        <v>1</v>
      </c>
    </row>
    <row r="10" spans="1:6" s="6" customFormat="1" ht="45" x14ac:dyDescent="0.25">
      <c r="A10" s="31"/>
      <c r="B10" s="6" t="s">
        <v>295</v>
      </c>
      <c r="C10" s="7" t="s">
        <v>296</v>
      </c>
      <c r="D10" s="6">
        <v>1</v>
      </c>
    </row>
    <row r="11" spans="1:6" s="6" customFormat="1" ht="30" x14ac:dyDescent="0.25">
      <c r="A11" s="31"/>
      <c r="B11" s="6" t="s">
        <v>297</v>
      </c>
      <c r="C11" s="7" t="s">
        <v>298</v>
      </c>
      <c r="D11" s="6">
        <v>1</v>
      </c>
    </row>
    <row r="12" spans="1:6" s="6" customFormat="1" ht="45" x14ac:dyDescent="0.25">
      <c r="A12" s="31"/>
      <c r="B12" s="6" t="s">
        <v>299</v>
      </c>
      <c r="C12" s="7" t="s">
        <v>300</v>
      </c>
      <c r="D12" s="6">
        <v>1</v>
      </c>
    </row>
    <row r="13" spans="1:6" s="6" customFormat="1" x14ac:dyDescent="0.25">
      <c r="A13" s="31"/>
      <c r="B13" s="6" t="s">
        <v>301</v>
      </c>
      <c r="C13" s="7" t="s">
        <v>302</v>
      </c>
      <c r="D13" s="6">
        <v>2</v>
      </c>
    </row>
    <row r="14" spans="1:6" s="6" customFormat="1" ht="45" x14ac:dyDescent="0.25">
      <c r="A14" s="31"/>
      <c r="B14" s="6" t="s">
        <v>303</v>
      </c>
      <c r="C14" s="7" t="s">
        <v>304</v>
      </c>
      <c r="D14" s="6">
        <v>2</v>
      </c>
    </row>
    <row r="15" spans="1:6" s="6" customFormat="1" ht="30" x14ac:dyDescent="0.25">
      <c r="A15" s="31"/>
      <c r="B15" s="6" t="s">
        <v>305</v>
      </c>
      <c r="C15" s="7" t="s">
        <v>306</v>
      </c>
      <c r="D15" s="6">
        <v>2</v>
      </c>
    </row>
    <row r="16" spans="1:6" s="6" customFormat="1" ht="30" x14ac:dyDescent="0.25">
      <c r="A16" s="31"/>
      <c r="B16" s="6" t="s">
        <v>307</v>
      </c>
      <c r="C16" s="7" t="s">
        <v>308</v>
      </c>
      <c r="D16" s="6">
        <v>2</v>
      </c>
    </row>
    <row r="17" spans="1:4" s="6" customFormat="1" ht="45" x14ac:dyDescent="0.25">
      <c r="A17" s="31" t="s">
        <v>309</v>
      </c>
      <c r="B17" s="6" t="s">
        <v>310</v>
      </c>
      <c r="C17" s="7" t="s">
        <v>311</v>
      </c>
      <c r="D17" s="6">
        <v>1</v>
      </c>
    </row>
    <row r="18" spans="1:4" s="6" customFormat="1" ht="30" x14ac:dyDescent="0.25">
      <c r="A18" s="31"/>
      <c r="B18" s="6" t="s">
        <v>312</v>
      </c>
      <c r="C18" s="7" t="s">
        <v>313</v>
      </c>
      <c r="D18" s="6">
        <v>1</v>
      </c>
    </row>
    <row r="19" spans="1:4" s="6" customFormat="1" ht="135" x14ac:dyDescent="0.25">
      <c r="A19" s="31"/>
      <c r="B19" s="6" t="s">
        <v>314</v>
      </c>
      <c r="C19" s="7" t="s">
        <v>315</v>
      </c>
      <c r="D19" s="6">
        <v>2</v>
      </c>
    </row>
    <row r="20" spans="1:4" s="6" customFormat="1" ht="45" x14ac:dyDescent="0.25">
      <c r="A20" s="31"/>
      <c r="B20" s="6" t="s">
        <v>316</v>
      </c>
      <c r="C20" s="7" t="s">
        <v>317</v>
      </c>
      <c r="D20" s="6">
        <v>2</v>
      </c>
    </row>
    <row r="21" spans="1:4" s="6" customFormat="1" ht="75" x14ac:dyDescent="0.25">
      <c r="A21" s="31"/>
      <c r="B21" s="6" t="s">
        <v>318</v>
      </c>
      <c r="C21" s="7" t="s">
        <v>319</v>
      </c>
      <c r="D21" s="6">
        <v>3</v>
      </c>
    </row>
    <row r="22" spans="1:4" s="6" customFormat="1" ht="30" x14ac:dyDescent="0.25">
      <c r="A22" s="31"/>
      <c r="B22" s="6" t="s">
        <v>320</v>
      </c>
      <c r="C22" s="7" t="s">
        <v>321</v>
      </c>
      <c r="D22" s="6">
        <v>3</v>
      </c>
    </row>
    <row r="23" spans="1:4" s="6" customFormat="1" ht="30" x14ac:dyDescent="0.25">
      <c r="A23" s="31"/>
      <c r="B23" s="6" t="s">
        <v>322</v>
      </c>
      <c r="C23" s="7" t="s">
        <v>323</v>
      </c>
      <c r="D23" s="6">
        <v>3</v>
      </c>
    </row>
    <row r="24" spans="1:4" s="6" customFormat="1" ht="60" x14ac:dyDescent="0.25">
      <c r="A24" s="31"/>
      <c r="B24" s="6" t="s">
        <v>324</v>
      </c>
      <c r="C24" s="7" t="s">
        <v>325</v>
      </c>
      <c r="D24" s="6">
        <v>3</v>
      </c>
    </row>
    <row r="25" spans="1:4" s="6" customFormat="1" ht="60" x14ac:dyDescent="0.25">
      <c r="A25" s="31" t="s">
        <v>326</v>
      </c>
      <c r="B25" s="6" t="s">
        <v>327</v>
      </c>
      <c r="C25" s="7" t="s">
        <v>328</v>
      </c>
      <c r="D25" s="6">
        <v>1</v>
      </c>
    </row>
    <row r="26" spans="1:4" s="6" customFormat="1" ht="30" x14ac:dyDescent="0.25">
      <c r="A26" s="31"/>
      <c r="B26" s="6" t="s">
        <v>329</v>
      </c>
      <c r="C26" s="7" t="s">
        <v>330</v>
      </c>
      <c r="D26" s="6">
        <v>1</v>
      </c>
    </row>
    <row r="27" spans="1:4" s="6" customFormat="1" ht="45" x14ac:dyDescent="0.25">
      <c r="A27" s="31"/>
      <c r="B27" s="6" t="s">
        <v>331</v>
      </c>
      <c r="C27" s="7" t="s">
        <v>332</v>
      </c>
      <c r="D27" s="6">
        <v>2</v>
      </c>
    </row>
    <row r="28" spans="1:4" s="6" customFormat="1" ht="30" x14ac:dyDescent="0.25">
      <c r="A28" s="31"/>
      <c r="B28" s="6" t="s">
        <v>333</v>
      </c>
      <c r="C28" s="7" t="s">
        <v>334</v>
      </c>
      <c r="D28" s="6">
        <v>2</v>
      </c>
    </row>
    <row r="29" spans="1:4" s="6" customFormat="1" ht="45" x14ac:dyDescent="0.25">
      <c r="A29" s="31"/>
      <c r="B29" s="6" t="s">
        <v>335</v>
      </c>
      <c r="C29" s="7" t="s">
        <v>336</v>
      </c>
      <c r="D29" s="6">
        <v>3</v>
      </c>
    </row>
    <row r="30" spans="1:4" s="6" customFormat="1" ht="45" x14ac:dyDescent="0.25">
      <c r="A30" s="31"/>
      <c r="B30" s="6" t="s">
        <v>337</v>
      </c>
      <c r="C30" s="7" t="s">
        <v>338</v>
      </c>
      <c r="D30" s="6">
        <v>3</v>
      </c>
    </row>
    <row r="31" spans="1:4" s="6" customFormat="1" ht="45" x14ac:dyDescent="0.25">
      <c r="A31" s="31" t="s">
        <v>339</v>
      </c>
      <c r="B31" s="6" t="s">
        <v>340</v>
      </c>
      <c r="C31" s="7" t="s">
        <v>341</v>
      </c>
      <c r="D31" s="6">
        <v>2</v>
      </c>
    </row>
    <row r="32" spans="1:4" s="6" customFormat="1" ht="75" x14ac:dyDescent="0.25">
      <c r="A32" s="31"/>
      <c r="B32" s="6" t="s">
        <v>342</v>
      </c>
      <c r="C32" s="7" t="s">
        <v>343</v>
      </c>
      <c r="D32" s="6">
        <v>2</v>
      </c>
    </row>
    <row r="33" spans="1:4" s="6" customFormat="1" ht="45" x14ac:dyDescent="0.25">
      <c r="A33" s="31"/>
      <c r="B33" s="6" t="s">
        <v>344</v>
      </c>
      <c r="C33" s="7" t="s">
        <v>345</v>
      </c>
      <c r="D33" s="6">
        <v>2</v>
      </c>
    </row>
    <row r="34" spans="1:4" s="6" customFormat="1" ht="45" x14ac:dyDescent="0.25">
      <c r="A34" s="31"/>
      <c r="B34" s="6" t="s">
        <v>346</v>
      </c>
      <c r="C34" s="7" t="s">
        <v>347</v>
      </c>
      <c r="D34" s="6">
        <v>2</v>
      </c>
    </row>
    <row r="35" spans="1:4" s="6" customFormat="1" ht="60" x14ac:dyDescent="0.25">
      <c r="A35" s="31"/>
      <c r="B35" s="6" t="s">
        <v>348</v>
      </c>
      <c r="C35" s="7" t="s">
        <v>349</v>
      </c>
      <c r="D35" s="6">
        <v>2</v>
      </c>
    </row>
    <row r="36" spans="1:4" s="6" customFormat="1" ht="30" x14ac:dyDescent="0.25">
      <c r="A36" s="31"/>
      <c r="B36" s="6" t="s">
        <v>350</v>
      </c>
      <c r="C36" s="7" t="s">
        <v>351</v>
      </c>
      <c r="D36" s="6">
        <v>3</v>
      </c>
    </row>
    <row r="37" spans="1:4" s="6" customFormat="1" ht="30" x14ac:dyDescent="0.25">
      <c r="A37" s="31"/>
      <c r="B37" s="6" t="s">
        <v>352</v>
      </c>
      <c r="C37" s="7" t="s">
        <v>353</v>
      </c>
      <c r="D37" s="6">
        <v>3</v>
      </c>
    </row>
    <row r="38" spans="1:4" s="6" customFormat="1" ht="45" x14ac:dyDescent="0.25">
      <c r="A38" s="31"/>
      <c r="B38" s="6" t="s">
        <v>354</v>
      </c>
      <c r="C38" s="7" t="s">
        <v>355</v>
      </c>
      <c r="D38" s="6">
        <v>3</v>
      </c>
    </row>
    <row r="39" spans="1:4" s="6" customFormat="1" ht="90" x14ac:dyDescent="0.25">
      <c r="A39" s="31" t="s">
        <v>356</v>
      </c>
      <c r="B39" s="6" t="s">
        <v>357</v>
      </c>
      <c r="C39" s="7" t="s">
        <v>358</v>
      </c>
      <c r="D39" s="6">
        <v>2</v>
      </c>
    </row>
    <row r="40" spans="1:4" s="6" customFormat="1" ht="45" x14ac:dyDescent="0.25">
      <c r="A40" s="31"/>
      <c r="B40" s="6" t="s">
        <v>359</v>
      </c>
      <c r="C40" s="7" t="s">
        <v>360</v>
      </c>
      <c r="D40" s="6">
        <v>2</v>
      </c>
    </row>
    <row r="41" spans="1:4" s="6" customFormat="1" ht="45" x14ac:dyDescent="0.25">
      <c r="A41" s="31"/>
      <c r="B41" s="6" t="s">
        <v>361</v>
      </c>
      <c r="C41" s="7" t="s">
        <v>362</v>
      </c>
      <c r="D41" s="6">
        <v>2</v>
      </c>
    </row>
    <row r="42" spans="1:4" s="6" customFormat="1" ht="45" x14ac:dyDescent="0.25">
      <c r="A42" s="31"/>
      <c r="B42" s="6" t="s">
        <v>363</v>
      </c>
      <c r="C42" s="7" t="s">
        <v>364</v>
      </c>
      <c r="D42" s="6">
        <v>3</v>
      </c>
    </row>
    <row r="43" spans="1:4" s="6" customFormat="1" ht="30" x14ac:dyDescent="0.25">
      <c r="A43" s="31" t="s">
        <v>365</v>
      </c>
      <c r="B43" s="6" t="s">
        <v>366</v>
      </c>
      <c r="C43" s="7" t="s">
        <v>367</v>
      </c>
      <c r="D43" s="6">
        <v>3</v>
      </c>
    </row>
    <row r="44" spans="1:4" s="6" customFormat="1" ht="30" x14ac:dyDescent="0.25">
      <c r="A44" s="31"/>
      <c r="B44" s="6" t="s">
        <v>368</v>
      </c>
      <c r="C44" s="7" t="s">
        <v>369</v>
      </c>
      <c r="D44" s="6">
        <v>3</v>
      </c>
    </row>
    <row r="45" spans="1:4" s="6" customFormat="1" ht="75" x14ac:dyDescent="0.25">
      <c r="A45" s="31" t="s">
        <v>370</v>
      </c>
      <c r="B45" s="6" t="s">
        <v>371</v>
      </c>
      <c r="C45" s="7" t="s">
        <v>372</v>
      </c>
      <c r="D45" s="6">
        <v>2</v>
      </c>
    </row>
    <row r="46" spans="1:4" s="6" customFormat="1" ht="45" x14ac:dyDescent="0.25">
      <c r="A46" s="31"/>
      <c r="B46" s="6" t="s">
        <v>373</v>
      </c>
      <c r="C46" s="7" t="s">
        <v>374</v>
      </c>
      <c r="D46" s="6">
        <v>2</v>
      </c>
    </row>
    <row r="47" spans="1:4" s="6" customFormat="1" ht="30" x14ac:dyDescent="0.25">
      <c r="A47" s="31"/>
      <c r="B47" s="6" t="s">
        <v>375</v>
      </c>
      <c r="C47" s="7" t="s">
        <v>376</v>
      </c>
      <c r="D47" s="6">
        <v>2</v>
      </c>
    </row>
    <row r="48" spans="1:4" s="6" customFormat="1" ht="135" x14ac:dyDescent="0.25">
      <c r="A48" s="31"/>
      <c r="B48" s="6" t="s">
        <v>377</v>
      </c>
      <c r="C48" s="7" t="s">
        <v>378</v>
      </c>
      <c r="D48" s="6">
        <v>2</v>
      </c>
    </row>
  </sheetData>
  <mergeCells count="8">
    <mergeCell ref="A39:A42"/>
    <mergeCell ref="A43:A44"/>
    <mergeCell ref="A45:A48"/>
    <mergeCell ref="A2:A4"/>
    <mergeCell ref="A5:A16"/>
    <mergeCell ref="A17:A24"/>
    <mergeCell ref="A25:A30"/>
    <mergeCell ref="A31:A38"/>
  </mergeCells>
  <dataValidations count="1">
    <dataValidation type="list" allowBlank="1" showInputMessage="1" showErrorMessage="1" sqref="E2:E48" xr:uid="{35B6BE7F-4B89-422E-A618-005BE0E8DB85}">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63" id="{C810E3EF-16D6-4AF0-A0AE-0825F7FF1509}">
            <xm:f>IF(STATISTICS!$I$4=FALSE, TRUE, FALSE)</xm:f>
            <x14:dxf>
              <font>
                <strike/>
              </font>
            </x14:dxf>
          </x14:cfRule>
          <xm:sqref>B2:E2 B5:E12 B17:E18 B25:E26</xm:sqref>
        </x14:conditionalFormatting>
        <x14:conditionalFormatting xmlns:xm="http://schemas.microsoft.com/office/excel/2006/main">
          <x14:cfRule type="expression" priority="56" id="{9BA21AF4-A146-4B8B-A112-768526AF601B}">
            <xm:f>IF(STATISTICS!$J$4=FALSE, TRUE, FALSE)</xm:f>
            <x14:dxf>
              <font>
                <strike/>
              </font>
            </x14:dxf>
          </x14:cfRule>
          <xm:sqref>B3:E4 B13:E16 B19:E20 B27:E28 B31:E35 B39:E41 B45:E48</xm:sqref>
        </x14:conditionalFormatting>
        <x14:conditionalFormatting xmlns:xm="http://schemas.microsoft.com/office/excel/2006/main">
          <x14:cfRule type="expression" priority="3" id="{C810E3EF-16D6-4AF0-A0AE-0825F7FF1509}">
            <xm:f>IF(STATISTICS!$K$4=FALSE, TRUE, FALSE)</xm:f>
            <x14:dxf>
              <font>
                <strike/>
              </font>
            </x14:dxf>
          </x14:cfRule>
          <xm:sqref>B21:E24 B29:E30 B36:E38 B42:E44</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BD3E5-8CA8-4A87-9FDF-4CEFAEE3FEA7}">
  <dimension ref="A1:F52"/>
  <sheetViews>
    <sheetView topLeftCell="A4" workbookViewId="0"/>
  </sheetViews>
  <sheetFormatPr defaultRowHeight="15" x14ac:dyDescent="0.2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x14ac:dyDescent="0.25">
      <c r="A1" s="5" t="s">
        <v>42</v>
      </c>
      <c r="B1" s="5" t="s">
        <v>43</v>
      </c>
      <c r="C1" s="5" t="s">
        <v>44</v>
      </c>
      <c r="D1" s="5" t="s">
        <v>45</v>
      </c>
      <c r="E1" s="5" t="s">
        <v>46</v>
      </c>
      <c r="F1" s="14"/>
    </row>
    <row r="2" spans="1:6" s="6" customFormat="1" ht="60" x14ac:dyDescent="0.25">
      <c r="A2" s="31" t="s">
        <v>379</v>
      </c>
      <c r="B2" s="6" t="s">
        <v>380</v>
      </c>
      <c r="C2" s="7" t="s">
        <v>381</v>
      </c>
      <c r="D2" s="6">
        <v>2</v>
      </c>
    </row>
    <row r="3" spans="1:6" s="6" customFormat="1" ht="60" x14ac:dyDescent="0.25">
      <c r="A3" s="31"/>
      <c r="B3" s="6" t="s">
        <v>382</v>
      </c>
      <c r="C3" s="7" t="s">
        <v>383</v>
      </c>
      <c r="D3" s="6">
        <v>2</v>
      </c>
    </row>
    <row r="4" spans="1:6" s="6" customFormat="1" ht="60" x14ac:dyDescent="0.25">
      <c r="A4" s="31"/>
      <c r="B4" s="6" t="s">
        <v>384</v>
      </c>
      <c r="C4" s="7" t="s">
        <v>385</v>
      </c>
      <c r="D4" s="6">
        <v>2</v>
      </c>
    </row>
    <row r="5" spans="1:6" s="6" customFormat="1" ht="30" x14ac:dyDescent="0.25">
      <c r="A5" s="31" t="s">
        <v>386</v>
      </c>
      <c r="B5" s="6" t="s">
        <v>387</v>
      </c>
      <c r="C5" s="7" t="s">
        <v>388</v>
      </c>
      <c r="D5" s="6">
        <v>1</v>
      </c>
    </row>
    <row r="6" spans="1:6" s="6" customFormat="1" ht="45" x14ac:dyDescent="0.25">
      <c r="A6" s="31"/>
      <c r="B6" s="6" t="s">
        <v>389</v>
      </c>
      <c r="C6" s="7" t="s">
        <v>390</v>
      </c>
      <c r="D6" s="6">
        <v>1</v>
      </c>
    </row>
    <row r="7" spans="1:6" s="6" customFormat="1" ht="45" x14ac:dyDescent="0.25">
      <c r="A7" s="31"/>
      <c r="B7" s="6" t="s">
        <v>391</v>
      </c>
      <c r="C7" s="7" t="s">
        <v>392</v>
      </c>
      <c r="D7" s="6">
        <v>1</v>
      </c>
    </row>
    <row r="8" spans="1:6" s="6" customFormat="1" ht="45" x14ac:dyDescent="0.25">
      <c r="A8" s="31"/>
      <c r="B8" s="6" t="s">
        <v>393</v>
      </c>
      <c r="C8" s="7" t="s">
        <v>394</v>
      </c>
      <c r="D8" s="6">
        <v>1</v>
      </c>
    </row>
    <row r="9" spans="1:6" s="6" customFormat="1" ht="30" x14ac:dyDescent="0.25">
      <c r="A9" s="31" t="s">
        <v>395</v>
      </c>
      <c r="B9" s="6" t="s">
        <v>396</v>
      </c>
      <c r="C9" s="7" t="s">
        <v>397</v>
      </c>
      <c r="D9" s="6">
        <v>2</v>
      </c>
    </row>
    <row r="10" spans="1:6" s="6" customFormat="1" ht="45" x14ac:dyDescent="0.25">
      <c r="A10" s="31"/>
      <c r="B10" s="6" t="s">
        <v>398</v>
      </c>
      <c r="C10" s="7" t="s">
        <v>399</v>
      </c>
      <c r="D10" s="6">
        <v>2</v>
      </c>
    </row>
    <row r="11" spans="1:6" s="6" customFormat="1" ht="105" x14ac:dyDescent="0.25">
      <c r="A11" s="31" t="s">
        <v>400</v>
      </c>
      <c r="B11" s="6" t="s">
        <v>401</v>
      </c>
      <c r="C11" s="7" t="s">
        <v>402</v>
      </c>
      <c r="D11" s="6">
        <v>1</v>
      </c>
    </row>
    <row r="12" spans="1:6" s="6" customFormat="1" ht="30" x14ac:dyDescent="0.25">
      <c r="A12" s="31"/>
      <c r="B12" s="6" t="s">
        <v>403</v>
      </c>
      <c r="C12" s="7" t="s">
        <v>404</v>
      </c>
      <c r="D12" s="6">
        <v>1</v>
      </c>
    </row>
    <row r="13" spans="1:6" s="6" customFormat="1" ht="60" x14ac:dyDescent="0.25">
      <c r="A13" s="31"/>
      <c r="B13" s="6" t="s">
        <v>405</v>
      </c>
      <c r="C13" s="7" t="s">
        <v>406</v>
      </c>
      <c r="D13" s="6">
        <v>2</v>
      </c>
    </row>
    <row r="14" spans="1:6" s="6" customFormat="1" ht="30" x14ac:dyDescent="0.25">
      <c r="A14" s="31"/>
      <c r="B14" s="6" t="s">
        <v>407</v>
      </c>
      <c r="C14" s="7" t="s">
        <v>408</v>
      </c>
      <c r="D14" s="6">
        <v>2</v>
      </c>
    </row>
    <row r="15" spans="1:6" s="6" customFormat="1" ht="30" x14ac:dyDescent="0.25">
      <c r="A15" s="31"/>
      <c r="B15" s="6" t="s">
        <v>409</v>
      </c>
      <c r="C15" s="7" t="s">
        <v>410</v>
      </c>
      <c r="D15" s="6">
        <v>2</v>
      </c>
    </row>
    <row r="16" spans="1:6" s="6" customFormat="1" ht="60" x14ac:dyDescent="0.25">
      <c r="A16" s="31" t="s">
        <v>411</v>
      </c>
      <c r="B16" s="6" t="s">
        <v>412</v>
      </c>
      <c r="C16" s="7" t="s">
        <v>413</v>
      </c>
      <c r="D16" s="6">
        <v>2</v>
      </c>
    </row>
    <row r="17" spans="1:4" s="6" customFormat="1" ht="30" x14ac:dyDescent="0.25">
      <c r="A17" s="31"/>
      <c r="B17" s="6" t="s">
        <v>414</v>
      </c>
      <c r="C17" s="7" t="s">
        <v>415</v>
      </c>
      <c r="D17" s="6">
        <v>2</v>
      </c>
    </row>
    <row r="18" spans="1:4" s="6" customFormat="1" ht="45" x14ac:dyDescent="0.25">
      <c r="A18" s="31"/>
      <c r="B18" s="6" t="s">
        <v>416</v>
      </c>
      <c r="C18" s="7" t="s">
        <v>417</v>
      </c>
      <c r="D18" s="6">
        <v>3</v>
      </c>
    </row>
    <row r="19" spans="1:4" s="6" customFormat="1" ht="60" x14ac:dyDescent="0.25">
      <c r="A19" s="31" t="s">
        <v>418</v>
      </c>
      <c r="B19" s="6" t="s">
        <v>419</v>
      </c>
      <c r="C19" s="7" t="s">
        <v>420</v>
      </c>
      <c r="D19" s="6">
        <v>2</v>
      </c>
    </row>
    <row r="20" spans="1:4" s="6" customFormat="1" ht="45" x14ac:dyDescent="0.25">
      <c r="A20" s="31"/>
      <c r="B20" s="6" t="s">
        <v>421</v>
      </c>
      <c r="C20" s="7" t="s">
        <v>422</v>
      </c>
      <c r="D20" s="6">
        <v>2</v>
      </c>
    </row>
    <row r="21" spans="1:4" s="6" customFormat="1" x14ac:dyDescent="0.25">
      <c r="A21" s="12"/>
      <c r="C21" s="7"/>
    </row>
    <row r="22" spans="1:4" s="6" customFormat="1" x14ac:dyDescent="0.25">
      <c r="A22" s="12"/>
      <c r="C22" s="7"/>
    </row>
    <row r="23" spans="1:4" s="6" customFormat="1" x14ac:dyDescent="0.25">
      <c r="A23" s="12"/>
      <c r="C23" s="7"/>
    </row>
    <row r="24" spans="1:4" s="6" customFormat="1" x14ac:dyDescent="0.25">
      <c r="A24" s="12"/>
      <c r="C24" s="7"/>
    </row>
    <row r="25" spans="1:4" s="6" customFormat="1" x14ac:dyDescent="0.25">
      <c r="A25" s="12"/>
      <c r="C25" s="7"/>
    </row>
    <row r="26" spans="1:4" s="6" customFormat="1" x14ac:dyDescent="0.25">
      <c r="A26" s="12"/>
      <c r="C26" s="7"/>
    </row>
    <row r="27" spans="1:4" s="6" customFormat="1" x14ac:dyDescent="0.25">
      <c r="A27" s="12"/>
      <c r="C27" s="7"/>
    </row>
    <row r="28" spans="1:4" s="6" customFormat="1" x14ac:dyDescent="0.25">
      <c r="A28" s="12"/>
      <c r="C28" s="7"/>
    </row>
    <row r="29" spans="1:4" s="6" customFormat="1" x14ac:dyDescent="0.25">
      <c r="A29" s="12"/>
      <c r="C29" s="7"/>
    </row>
    <row r="30" spans="1:4" s="6" customFormat="1" x14ac:dyDescent="0.25">
      <c r="A30" s="12"/>
      <c r="C30" s="7"/>
    </row>
    <row r="31" spans="1:4" s="6" customFormat="1" x14ac:dyDescent="0.25">
      <c r="A31" s="12"/>
      <c r="C31" s="7"/>
    </row>
    <row r="32" spans="1:4" s="6" customFormat="1" x14ac:dyDescent="0.25">
      <c r="A32" s="12"/>
      <c r="C32" s="7"/>
    </row>
    <row r="33" spans="1:3" s="6" customFormat="1" x14ac:dyDescent="0.25">
      <c r="A33" s="12"/>
      <c r="C33" s="7"/>
    </row>
    <row r="34" spans="1:3" s="6" customFormat="1" x14ac:dyDescent="0.25">
      <c r="A34" s="12"/>
      <c r="C34" s="7"/>
    </row>
    <row r="35" spans="1:3" s="6" customFormat="1" x14ac:dyDescent="0.25">
      <c r="A35" s="12"/>
      <c r="C35" s="7"/>
    </row>
    <row r="36" spans="1:3" s="6" customFormat="1" x14ac:dyDescent="0.25">
      <c r="A36" s="12"/>
      <c r="C36" s="7"/>
    </row>
    <row r="37" spans="1:3" s="6" customFormat="1" x14ac:dyDescent="0.25">
      <c r="A37" s="12"/>
      <c r="C37" s="7"/>
    </row>
    <row r="38" spans="1:3" s="6" customFormat="1" x14ac:dyDescent="0.25">
      <c r="A38" s="12"/>
      <c r="C38" s="7"/>
    </row>
    <row r="39" spans="1:3" s="6" customFormat="1" x14ac:dyDescent="0.25">
      <c r="A39" s="12"/>
      <c r="C39" s="7"/>
    </row>
    <row r="40" spans="1:3" s="6" customFormat="1" x14ac:dyDescent="0.25">
      <c r="A40" s="12"/>
      <c r="C40" s="7"/>
    </row>
    <row r="41" spans="1:3" s="6" customFormat="1" x14ac:dyDescent="0.25">
      <c r="A41" s="12"/>
      <c r="C41" s="7"/>
    </row>
    <row r="42" spans="1:3" s="6" customFormat="1" x14ac:dyDescent="0.25">
      <c r="A42" s="12"/>
      <c r="C42" s="7"/>
    </row>
    <row r="43" spans="1:3" s="6" customFormat="1" x14ac:dyDescent="0.25">
      <c r="A43" s="12"/>
      <c r="C43" s="7"/>
    </row>
    <row r="44" spans="1:3" s="6" customFormat="1" x14ac:dyDescent="0.25">
      <c r="A44" s="12"/>
      <c r="C44" s="7"/>
    </row>
    <row r="45" spans="1:3" s="6" customFormat="1" x14ac:dyDescent="0.25">
      <c r="A45" s="12"/>
      <c r="C45" s="7"/>
    </row>
    <row r="46" spans="1:3" s="6" customFormat="1" x14ac:dyDescent="0.25">
      <c r="A46" s="12"/>
      <c r="C46" s="7"/>
    </row>
    <row r="47" spans="1:3" s="6" customFormat="1" x14ac:dyDescent="0.25">
      <c r="A47" s="12"/>
      <c r="C47" s="7"/>
    </row>
    <row r="48" spans="1:3" s="6" customFormat="1" x14ac:dyDescent="0.25">
      <c r="A48" s="12"/>
      <c r="C48" s="7"/>
    </row>
    <row r="49" spans="1:1" x14ac:dyDescent="0.25">
      <c r="A49" s="15"/>
    </row>
    <row r="50" spans="1:1" x14ac:dyDescent="0.25">
      <c r="A50" s="15"/>
    </row>
    <row r="51" spans="1:1" x14ac:dyDescent="0.25">
      <c r="A51" s="15"/>
    </row>
    <row r="52" spans="1:1" x14ac:dyDescent="0.25">
      <c r="A52" s="15"/>
    </row>
  </sheetData>
  <mergeCells count="6">
    <mergeCell ref="A19:A20"/>
    <mergeCell ref="A2:A4"/>
    <mergeCell ref="A5:A8"/>
    <mergeCell ref="A9:A10"/>
    <mergeCell ref="A11:A15"/>
    <mergeCell ref="A16:A18"/>
  </mergeCells>
  <dataValidations count="1">
    <dataValidation type="list" allowBlank="1" showInputMessage="1" showErrorMessage="1" sqref="E2:E20" xr:uid="{9503C773-EE89-4AD9-9EAD-ABCC1049C0AC}">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71" id="{3D60E64A-A634-47D3-BEE4-0FBFDEE3D6C3}">
            <xm:f>IF(STATISTICS!$J$4=FALSE, TRUE, FALSE)</xm:f>
            <x14:dxf>
              <font>
                <strike/>
              </font>
            </x14:dxf>
          </x14:cfRule>
          <xm:sqref>B2:E4 B9:E10 B13:E17 B19:E20</xm:sqref>
        </x14:conditionalFormatting>
        <x14:conditionalFormatting xmlns:xm="http://schemas.microsoft.com/office/excel/2006/main">
          <x14:cfRule type="expression" priority="75" id="{3FF5D9A4-9765-4FCD-8274-4A04D97DE66E}">
            <xm:f>IF(STATISTICS!$I$4=FALSE, TRUE, FALSE)</xm:f>
            <x14:dxf>
              <font>
                <strike/>
              </font>
            </x14:dxf>
          </x14:cfRule>
          <xm:sqref>B5:E8 B11:E12</xm:sqref>
        </x14:conditionalFormatting>
        <x14:conditionalFormatting xmlns:xm="http://schemas.microsoft.com/office/excel/2006/main">
          <x14:cfRule type="expression" priority="2" id="{3FF5D9A4-9765-4FCD-8274-4A04D97DE66E}">
            <xm:f>IF(STATISTICS!$K$4=FALSE, TRUE, FALSE)</xm:f>
            <x14:dxf>
              <font>
                <strike/>
              </font>
            </x14:dxf>
          </x14:cfRule>
          <xm:sqref>B18:E18</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26FB4-D195-450A-A191-6F8446C76E20}">
  <dimension ref="A1:F52"/>
  <sheetViews>
    <sheetView workbookViewId="0"/>
  </sheetViews>
  <sheetFormatPr defaultRowHeight="15" x14ac:dyDescent="0.2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x14ac:dyDescent="0.25">
      <c r="A1" s="5" t="s">
        <v>42</v>
      </c>
      <c r="B1" s="5" t="s">
        <v>43</v>
      </c>
      <c r="C1" s="5" t="s">
        <v>44</v>
      </c>
      <c r="D1" s="5" t="s">
        <v>45</v>
      </c>
      <c r="E1" s="5" t="s">
        <v>46</v>
      </c>
      <c r="F1" s="14"/>
    </row>
    <row r="2" spans="1:6" s="6" customFormat="1" ht="45" x14ac:dyDescent="0.25">
      <c r="A2" s="31" t="s">
        <v>423</v>
      </c>
      <c r="B2" s="6" t="s">
        <v>424</v>
      </c>
      <c r="C2" s="7" t="s">
        <v>425</v>
      </c>
      <c r="D2" s="6">
        <v>1</v>
      </c>
    </row>
    <row r="3" spans="1:6" s="6" customFormat="1" ht="60" x14ac:dyDescent="0.25">
      <c r="A3" s="31"/>
      <c r="B3" s="6" t="s">
        <v>426</v>
      </c>
      <c r="C3" s="7" t="s">
        <v>427</v>
      </c>
      <c r="D3" s="6">
        <v>2</v>
      </c>
    </row>
    <row r="4" spans="1:6" s="6" customFormat="1" ht="60" x14ac:dyDescent="0.25">
      <c r="A4" s="31"/>
      <c r="B4" s="6" t="s">
        <v>428</v>
      </c>
      <c r="C4" s="7" t="s">
        <v>429</v>
      </c>
      <c r="D4" s="6">
        <v>3</v>
      </c>
    </row>
    <row r="5" spans="1:6" s="6" customFormat="1" ht="75" x14ac:dyDescent="0.25">
      <c r="A5" s="31"/>
      <c r="B5" s="6" t="s">
        <v>430</v>
      </c>
      <c r="C5" s="7" t="s">
        <v>431</v>
      </c>
      <c r="D5" s="6">
        <v>3</v>
      </c>
    </row>
    <row r="6" spans="1:6" s="6" customFormat="1" ht="30" x14ac:dyDescent="0.25">
      <c r="A6" s="31" t="s">
        <v>432</v>
      </c>
      <c r="B6" s="6" t="s">
        <v>433</v>
      </c>
      <c r="C6" s="7" t="s">
        <v>434</v>
      </c>
      <c r="D6" s="6">
        <v>1</v>
      </c>
    </row>
    <row r="7" spans="1:6" s="6" customFormat="1" ht="60" x14ac:dyDescent="0.25">
      <c r="A7" s="31"/>
      <c r="B7" s="6" t="s">
        <v>435</v>
      </c>
      <c r="C7" s="7" t="s">
        <v>436</v>
      </c>
      <c r="D7" s="6">
        <v>1</v>
      </c>
    </row>
    <row r="8" spans="1:6" s="6" customFormat="1" ht="45" x14ac:dyDescent="0.25">
      <c r="A8" s="31"/>
      <c r="B8" s="6" t="s">
        <v>437</v>
      </c>
      <c r="C8" s="7" t="s">
        <v>438</v>
      </c>
      <c r="D8" s="6">
        <v>2</v>
      </c>
    </row>
    <row r="9" spans="1:6" s="6" customFormat="1" ht="90" x14ac:dyDescent="0.25">
      <c r="A9" s="31"/>
      <c r="B9" s="6" t="s">
        <v>439</v>
      </c>
      <c r="C9" s="7" t="s">
        <v>440</v>
      </c>
      <c r="D9" s="6">
        <v>3</v>
      </c>
    </row>
    <row r="10" spans="1:6" s="6" customFormat="1" ht="45" x14ac:dyDescent="0.25">
      <c r="A10" s="31" t="s">
        <v>441</v>
      </c>
      <c r="B10" s="6" t="s">
        <v>442</v>
      </c>
      <c r="C10" s="7" t="s">
        <v>443</v>
      </c>
      <c r="D10" s="6">
        <v>1</v>
      </c>
    </row>
    <row r="11" spans="1:6" s="6" customFormat="1" ht="90" x14ac:dyDescent="0.25">
      <c r="A11" s="31"/>
      <c r="B11" s="6" t="s">
        <v>444</v>
      </c>
      <c r="C11" s="7" t="s">
        <v>445</v>
      </c>
      <c r="D11" s="6">
        <v>3</v>
      </c>
    </row>
    <row r="12" spans="1:6" s="6" customFormat="1" ht="105" x14ac:dyDescent="0.25">
      <c r="A12" s="31"/>
      <c r="B12" s="6" t="s">
        <v>446</v>
      </c>
      <c r="C12" s="7" t="s">
        <v>447</v>
      </c>
      <c r="D12" s="6">
        <v>3</v>
      </c>
    </row>
    <row r="13" spans="1:6" s="6" customFormat="1" ht="45" x14ac:dyDescent="0.25">
      <c r="A13" s="31" t="s">
        <v>448</v>
      </c>
      <c r="B13" s="6" t="s">
        <v>449</v>
      </c>
      <c r="C13" s="7" t="s">
        <v>450</v>
      </c>
      <c r="D13" s="6">
        <v>2</v>
      </c>
    </row>
    <row r="14" spans="1:6" s="6" customFormat="1" ht="75" x14ac:dyDescent="0.25">
      <c r="A14" s="31"/>
      <c r="B14" s="6" t="s">
        <v>451</v>
      </c>
      <c r="C14" s="7" t="s">
        <v>452</v>
      </c>
      <c r="D14" s="6">
        <v>3</v>
      </c>
    </row>
    <row r="15" spans="1:6" s="6" customFormat="1" x14ac:dyDescent="0.25">
      <c r="A15" s="12"/>
      <c r="C15" s="7"/>
    </row>
    <row r="16" spans="1:6" s="6" customFormat="1" x14ac:dyDescent="0.25">
      <c r="A16" s="12"/>
      <c r="C16" s="7"/>
    </row>
    <row r="17" spans="1:3" s="6" customFormat="1" x14ac:dyDescent="0.25">
      <c r="A17" s="12"/>
      <c r="C17" s="7"/>
    </row>
    <row r="18" spans="1:3" s="6" customFormat="1" x14ac:dyDescent="0.25">
      <c r="A18" s="12"/>
      <c r="C18" s="7"/>
    </row>
    <row r="19" spans="1:3" s="6" customFormat="1" x14ac:dyDescent="0.25">
      <c r="A19" s="12"/>
      <c r="C19" s="7"/>
    </row>
    <row r="20" spans="1:3" s="6" customFormat="1" x14ac:dyDescent="0.25">
      <c r="A20" s="12"/>
      <c r="C20" s="7"/>
    </row>
    <row r="21" spans="1:3" s="6" customFormat="1" x14ac:dyDescent="0.25">
      <c r="A21" s="12"/>
      <c r="C21" s="7"/>
    </row>
    <row r="22" spans="1:3" s="6" customFormat="1" x14ac:dyDescent="0.25">
      <c r="A22" s="12"/>
      <c r="C22" s="7"/>
    </row>
    <row r="23" spans="1:3" s="6" customFormat="1" x14ac:dyDescent="0.25">
      <c r="A23" s="12"/>
      <c r="C23" s="7"/>
    </row>
    <row r="24" spans="1:3" s="6" customFormat="1" x14ac:dyDescent="0.25">
      <c r="A24" s="12"/>
      <c r="C24" s="7"/>
    </row>
    <row r="25" spans="1:3" s="6" customFormat="1" x14ac:dyDescent="0.25">
      <c r="A25" s="12"/>
      <c r="C25" s="7"/>
    </row>
    <row r="26" spans="1:3" s="6" customFormat="1" x14ac:dyDescent="0.25">
      <c r="A26" s="12"/>
      <c r="C26" s="7"/>
    </row>
    <row r="27" spans="1:3" s="6" customFormat="1" x14ac:dyDescent="0.25">
      <c r="A27" s="12"/>
      <c r="C27" s="7"/>
    </row>
    <row r="28" spans="1:3" s="6" customFormat="1" x14ac:dyDescent="0.25">
      <c r="A28" s="12"/>
      <c r="C28" s="7"/>
    </row>
    <row r="29" spans="1:3" s="6" customFormat="1" x14ac:dyDescent="0.25">
      <c r="A29" s="12"/>
      <c r="C29" s="7"/>
    </row>
    <row r="30" spans="1:3" s="6" customFormat="1" x14ac:dyDescent="0.25">
      <c r="A30" s="12"/>
      <c r="C30" s="7"/>
    </row>
    <row r="31" spans="1:3" s="6" customFormat="1" x14ac:dyDescent="0.25">
      <c r="A31" s="12"/>
      <c r="C31" s="7"/>
    </row>
    <row r="32" spans="1:3" s="6" customFormat="1" x14ac:dyDescent="0.25">
      <c r="A32" s="12"/>
      <c r="C32" s="7"/>
    </row>
    <row r="33" spans="1:3" s="6" customFormat="1" x14ac:dyDescent="0.25">
      <c r="A33" s="12"/>
      <c r="C33" s="7"/>
    </row>
    <row r="34" spans="1:3" s="6" customFormat="1" x14ac:dyDescent="0.25">
      <c r="A34" s="12"/>
      <c r="C34" s="7"/>
    </row>
    <row r="35" spans="1:3" s="6" customFormat="1" x14ac:dyDescent="0.25">
      <c r="A35" s="12"/>
      <c r="C35" s="7"/>
    </row>
    <row r="36" spans="1:3" s="6" customFormat="1" x14ac:dyDescent="0.25">
      <c r="A36" s="12"/>
      <c r="C36" s="7"/>
    </row>
    <row r="37" spans="1:3" s="6" customFormat="1" x14ac:dyDescent="0.25">
      <c r="A37" s="12"/>
      <c r="C37" s="7"/>
    </row>
    <row r="38" spans="1:3" s="6" customFormat="1" x14ac:dyDescent="0.25">
      <c r="A38" s="12"/>
      <c r="C38" s="7"/>
    </row>
    <row r="39" spans="1:3" s="6" customFormat="1" x14ac:dyDescent="0.25">
      <c r="A39" s="12"/>
      <c r="C39" s="7"/>
    </row>
    <row r="40" spans="1:3" s="6" customFormat="1" x14ac:dyDescent="0.25">
      <c r="A40" s="12"/>
      <c r="C40" s="7"/>
    </row>
    <row r="41" spans="1:3" s="6" customFormat="1" x14ac:dyDescent="0.25">
      <c r="A41" s="12"/>
      <c r="C41" s="7"/>
    </row>
    <row r="42" spans="1:3" s="6" customFormat="1" x14ac:dyDescent="0.25">
      <c r="A42" s="12"/>
      <c r="C42" s="7"/>
    </row>
    <row r="43" spans="1:3" s="6" customFormat="1" x14ac:dyDescent="0.25">
      <c r="A43" s="12"/>
      <c r="C43" s="7"/>
    </row>
    <row r="44" spans="1:3" s="6" customFormat="1" x14ac:dyDescent="0.25">
      <c r="A44" s="12"/>
      <c r="C44" s="7"/>
    </row>
    <row r="45" spans="1:3" s="6" customFormat="1" x14ac:dyDescent="0.25">
      <c r="A45" s="12"/>
      <c r="C45" s="7"/>
    </row>
    <row r="46" spans="1:3" s="6" customFormat="1" x14ac:dyDescent="0.25">
      <c r="A46" s="12"/>
      <c r="C46" s="7"/>
    </row>
    <row r="47" spans="1:3" s="6" customFormat="1" x14ac:dyDescent="0.25">
      <c r="A47" s="12"/>
      <c r="C47" s="7"/>
    </row>
    <row r="48" spans="1:3" s="6" customFormat="1" x14ac:dyDescent="0.25">
      <c r="A48" s="12"/>
      <c r="C48" s="7"/>
    </row>
    <row r="49" spans="1:1" x14ac:dyDescent="0.25">
      <c r="A49" s="15"/>
    </row>
    <row r="50" spans="1:1" x14ac:dyDescent="0.25">
      <c r="A50" s="15"/>
    </row>
    <row r="51" spans="1:1" x14ac:dyDescent="0.25">
      <c r="A51" s="15"/>
    </row>
    <row r="52" spans="1:1" x14ac:dyDescent="0.25">
      <c r="A52" s="15"/>
    </row>
  </sheetData>
  <mergeCells count="4">
    <mergeCell ref="A2:A5"/>
    <mergeCell ref="A6:A9"/>
    <mergeCell ref="A10:A12"/>
    <mergeCell ref="A13:A14"/>
  </mergeCells>
  <dataValidations count="1">
    <dataValidation type="list" allowBlank="1" showInputMessage="1" showErrorMessage="1" sqref="E2:E14" xr:uid="{2EEAA8F0-AF03-4FF5-AB56-9C5C0FD513FB}">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81" id="{A38277FD-F34F-49BC-8FAD-3A4BBCC528D5}">
            <xm:f>IF(STATISTICS!$I$4=FALSE, TRUE, FALSE)</xm:f>
            <x14:dxf>
              <font>
                <strike/>
              </font>
            </x14:dxf>
          </x14:cfRule>
          <xm:sqref>B2:E2 B6:E7 B10:E10</xm:sqref>
        </x14:conditionalFormatting>
        <x14:conditionalFormatting xmlns:xm="http://schemas.microsoft.com/office/excel/2006/main">
          <x14:cfRule type="expression" priority="78" id="{4178B5D2-182E-449A-8E2C-F981ABEABAA7}">
            <xm:f>IF(STATISTICS!$J$4=FALSE, TRUE, FALSE)</xm:f>
            <x14:dxf>
              <font>
                <strike/>
              </font>
            </x14:dxf>
          </x14:cfRule>
          <xm:sqref>B3:E3 B8:E8 B13:E13</xm:sqref>
        </x14:conditionalFormatting>
        <x14:conditionalFormatting xmlns:xm="http://schemas.microsoft.com/office/excel/2006/main">
          <x14:cfRule type="expression" priority="2" id="{A38277FD-F34F-49BC-8FAD-3A4BBCC528D5}">
            <xm:f>IF(STATISTICS!$K$4=FALSE, TRUE, FALSE)</xm:f>
            <x14:dxf>
              <font>
                <strike/>
              </font>
            </x14:dxf>
          </x14:cfRule>
          <xm:sqref>B4:E5 B9:E9 B11:E12 B14:E14</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0A95-D0BF-4382-BE6E-AEAF5C3C3215}">
  <dimension ref="A1:F52"/>
  <sheetViews>
    <sheetView workbookViewId="0"/>
  </sheetViews>
  <sheetFormatPr defaultRowHeight="15" x14ac:dyDescent="0.2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x14ac:dyDescent="0.25">
      <c r="A1" s="5" t="s">
        <v>42</v>
      </c>
      <c r="B1" s="5" t="s">
        <v>43</v>
      </c>
      <c r="C1" s="5" t="s">
        <v>44</v>
      </c>
      <c r="D1" s="5" t="s">
        <v>45</v>
      </c>
      <c r="E1" s="5" t="s">
        <v>46</v>
      </c>
      <c r="F1" s="14"/>
    </row>
    <row r="2" spans="1:6" s="6" customFormat="1" ht="30" x14ac:dyDescent="0.25">
      <c r="A2" s="31" t="s">
        <v>453</v>
      </c>
      <c r="B2" s="6" t="s">
        <v>454</v>
      </c>
      <c r="C2" s="7" t="s">
        <v>455</v>
      </c>
      <c r="D2" s="6">
        <v>1</v>
      </c>
    </row>
    <row r="3" spans="1:6" s="6" customFormat="1" ht="90" x14ac:dyDescent="0.25">
      <c r="A3" s="31"/>
      <c r="B3" s="6" t="s">
        <v>456</v>
      </c>
      <c r="C3" s="7" t="s">
        <v>457</v>
      </c>
      <c r="D3" s="6">
        <v>1</v>
      </c>
    </row>
    <row r="4" spans="1:6" s="6" customFormat="1" ht="75" x14ac:dyDescent="0.25">
      <c r="A4" s="31"/>
      <c r="B4" s="6" t="s">
        <v>458</v>
      </c>
      <c r="C4" s="7" t="s">
        <v>459</v>
      </c>
      <c r="D4" s="6">
        <v>1</v>
      </c>
    </row>
    <row r="5" spans="1:6" s="6" customFormat="1" ht="45" x14ac:dyDescent="0.25">
      <c r="A5" s="31" t="s">
        <v>460</v>
      </c>
      <c r="B5" s="6" t="s">
        <v>461</v>
      </c>
      <c r="C5" s="7" t="s">
        <v>462</v>
      </c>
      <c r="D5" s="6">
        <v>1</v>
      </c>
    </row>
    <row r="6" spans="1:6" s="6" customFormat="1" ht="60" x14ac:dyDescent="0.25">
      <c r="A6" s="31"/>
      <c r="B6" s="6" t="s">
        <v>463</v>
      </c>
      <c r="C6" s="7" t="s">
        <v>464</v>
      </c>
      <c r="D6" s="6">
        <v>2</v>
      </c>
    </row>
    <row r="7" spans="1:6" s="6" customFormat="1" ht="45" x14ac:dyDescent="0.25">
      <c r="A7" s="31"/>
      <c r="B7" s="6" t="s">
        <v>465</v>
      </c>
      <c r="C7" s="7" t="s">
        <v>466</v>
      </c>
      <c r="D7" s="6">
        <v>2</v>
      </c>
    </row>
    <row r="8" spans="1:6" s="6" customFormat="1" ht="90" x14ac:dyDescent="0.25">
      <c r="A8" s="31"/>
      <c r="B8" s="6" t="s">
        <v>467</v>
      </c>
      <c r="C8" s="7" t="s">
        <v>468</v>
      </c>
      <c r="D8" s="6">
        <v>2</v>
      </c>
    </row>
    <row r="9" spans="1:6" s="6" customFormat="1" x14ac:dyDescent="0.25">
      <c r="A9" s="12"/>
      <c r="C9" s="7"/>
    </row>
    <row r="10" spans="1:6" s="6" customFormat="1" x14ac:dyDescent="0.25">
      <c r="A10" s="12"/>
      <c r="C10" s="7"/>
    </row>
    <row r="11" spans="1:6" s="6" customFormat="1" x14ac:dyDescent="0.25">
      <c r="A11" s="12"/>
      <c r="C11" s="7"/>
    </row>
    <row r="12" spans="1:6" s="6" customFormat="1" x14ac:dyDescent="0.25">
      <c r="A12" s="12"/>
      <c r="C12" s="7"/>
    </row>
    <row r="13" spans="1:6" s="6" customFormat="1" x14ac:dyDescent="0.25">
      <c r="A13" s="12"/>
      <c r="C13" s="7"/>
    </row>
    <row r="14" spans="1:6" s="6" customFormat="1" x14ac:dyDescent="0.25">
      <c r="A14" s="12"/>
      <c r="C14" s="7"/>
    </row>
    <row r="15" spans="1:6" s="6" customFormat="1" x14ac:dyDescent="0.25">
      <c r="A15" s="12"/>
      <c r="C15" s="7"/>
    </row>
    <row r="16" spans="1:6" s="6" customFormat="1" x14ac:dyDescent="0.25">
      <c r="A16" s="12"/>
      <c r="C16" s="7"/>
    </row>
    <row r="17" spans="1:3" s="6" customFormat="1" x14ac:dyDescent="0.25">
      <c r="A17" s="12"/>
      <c r="C17" s="7"/>
    </row>
    <row r="18" spans="1:3" s="6" customFormat="1" x14ac:dyDescent="0.25">
      <c r="A18" s="12"/>
      <c r="C18" s="7"/>
    </row>
    <row r="19" spans="1:3" s="6" customFormat="1" x14ac:dyDescent="0.25">
      <c r="A19" s="12"/>
      <c r="C19" s="7"/>
    </row>
    <row r="20" spans="1:3" s="6" customFormat="1" x14ac:dyDescent="0.25">
      <c r="A20" s="12"/>
      <c r="C20" s="7"/>
    </row>
    <row r="21" spans="1:3" s="6" customFormat="1" x14ac:dyDescent="0.25">
      <c r="A21" s="12"/>
      <c r="C21" s="7"/>
    </row>
    <row r="22" spans="1:3" s="6" customFormat="1" x14ac:dyDescent="0.25">
      <c r="A22" s="12"/>
      <c r="C22" s="7"/>
    </row>
    <row r="23" spans="1:3" s="6" customFormat="1" x14ac:dyDescent="0.25">
      <c r="A23" s="12"/>
      <c r="C23" s="7"/>
    </row>
    <row r="24" spans="1:3" s="6" customFormat="1" x14ac:dyDescent="0.25">
      <c r="A24" s="12"/>
      <c r="C24" s="7"/>
    </row>
    <row r="25" spans="1:3" s="6" customFormat="1" x14ac:dyDescent="0.25">
      <c r="A25" s="12"/>
      <c r="C25" s="7"/>
    </row>
    <row r="26" spans="1:3" s="6" customFormat="1" x14ac:dyDescent="0.25">
      <c r="A26" s="12"/>
      <c r="C26" s="7"/>
    </row>
    <row r="27" spans="1:3" s="6" customFormat="1" x14ac:dyDescent="0.25">
      <c r="A27" s="12"/>
      <c r="C27" s="7"/>
    </row>
    <row r="28" spans="1:3" s="6" customFormat="1" x14ac:dyDescent="0.25">
      <c r="A28" s="12"/>
      <c r="C28" s="7"/>
    </row>
    <row r="29" spans="1:3" s="6" customFormat="1" x14ac:dyDescent="0.25">
      <c r="A29" s="12"/>
      <c r="C29" s="7"/>
    </row>
    <row r="30" spans="1:3" s="6" customFormat="1" x14ac:dyDescent="0.25">
      <c r="A30" s="12"/>
      <c r="C30" s="7"/>
    </row>
    <row r="31" spans="1:3" s="6" customFormat="1" x14ac:dyDescent="0.25">
      <c r="A31" s="12"/>
      <c r="C31" s="7"/>
    </row>
    <row r="32" spans="1:3" s="6" customFormat="1" x14ac:dyDescent="0.25">
      <c r="A32" s="12"/>
      <c r="C32" s="7"/>
    </row>
    <row r="33" spans="1:3" s="6" customFormat="1" x14ac:dyDescent="0.25">
      <c r="A33" s="12"/>
      <c r="C33" s="7"/>
    </row>
    <row r="34" spans="1:3" s="6" customFormat="1" x14ac:dyDescent="0.25">
      <c r="A34" s="12"/>
      <c r="C34" s="7"/>
    </row>
    <row r="35" spans="1:3" s="6" customFormat="1" x14ac:dyDescent="0.25">
      <c r="A35" s="12"/>
      <c r="C35" s="7"/>
    </row>
    <row r="36" spans="1:3" s="6" customFormat="1" x14ac:dyDescent="0.25">
      <c r="A36" s="12"/>
      <c r="C36" s="7"/>
    </row>
    <row r="37" spans="1:3" s="6" customFormat="1" x14ac:dyDescent="0.25">
      <c r="A37" s="12"/>
      <c r="C37" s="7"/>
    </row>
    <row r="38" spans="1:3" s="6" customFormat="1" x14ac:dyDescent="0.25">
      <c r="A38" s="12"/>
      <c r="C38" s="7"/>
    </row>
    <row r="39" spans="1:3" s="6" customFormat="1" x14ac:dyDescent="0.25">
      <c r="A39" s="12"/>
      <c r="C39" s="7"/>
    </row>
    <row r="40" spans="1:3" s="6" customFormat="1" x14ac:dyDescent="0.25">
      <c r="A40" s="12"/>
      <c r="C40" s="7"/>
    </row>
    <row r="41" spans="1:3" s="6" customFormat="1" x14ac:dyDescent="0.25">
      <c r="A41" s="12"/>
      <c r="C41" s="7"/>
    </row>
    <row r="42" spans="1:3" s="6" customFormat="1" x14ac:dyDescent="0.25">
      <c r="A42" s="12"/>
      <c r="C42" s="7"/>
    </row>
    <row r="43" spans="1:3" s="6" customFormat="1" x14ac:dyDescent="0.25">
      <c r="A43" s="12"/>
      <c r="C43" s="7"/>
    </row>
    <row r="44" spans="1:3" s="6" customFormat="1" x14ac:dyDescent="0.25">
      <c r="A44" s="12"/>
      <c r="C44" s="7"/>
    </row>
    <row r="45" spans="1:3" s="6" customFormat="1" x14ac:dyDescent="0.25">
      <c r="A45" s="12"/>
      <c r="C45" s="7"/>
    </row>
    <row r="46" spans="1:3" s="6" customFormat="1" x14ac:dyDescent="0.25">
      <c r="A46" s="12"/>
      <c r="C46" s="7"/>
    </row>
    <row r="47" spans="1:3" s="6" customFormat="1" x14ac:dyDescent="0.25">
      <c r="A47" s="12"/>
      <c r="C47" s="7"/>
    </row>
    <row r="48" spans="1:3" s="6" customFormat="1" x14ac:dyDescent="0.25">
      <c r="A48" s="12"/>
      <c r="C48" s="7"/>
    </row>
    <row r="49" spans="1:1" x14ac:dyDescent="0.25">
      <c r="A49" s="15"/>
    </row>
    <row r="50" spans="1:1" x14ac:dyDescent="0.25">
      <c r="A50" s="15"/>
    </row>
    <row r="51" spans="1:1" x14ac:dyDescent="0.25">
      <c r="A51" s="15"/>
    </row>
    <row r="52" spans="1:1" x14ac:dyDescent="0.25">
      <c r="A52" s="15"/>
    </row>
  </sheetData>
  <mergeCells count="2">
    <mergeCell ref="A2:A4"/>
    <mergeCell ref="A5:A8"/>
  </mergeCells>
  <dataValidations count="1">
    <dataValidation type="list" allowBlank="1" showInputMessage="1" showErrorMessage="1" sqref="E2:E8" xr:uid="{5DC8C0BE-8774-4CA4-B79A-9C8FB2607373}">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89" id="{FB30F766-DBB2-4C7A-9218-2C8D33D559C0}">
            <xm:f>IF(STATISTICS!$I$4=FALSE, TRUE, FALSE)</xm:f>
            <x14:dxf>
              <font>
                <strike/>
              </font>
            </x14:dxf>
          </x14:cfRule>
          <xm:sqref>B2:E5</xm:sqref>
        </x14:conditionalFormatting>
        <x14:conditionalFormatting xmlns:xm="http://schemas.microsoft.com/office/excel/2006/main">
          <x14:cfRule type="expression" priority="88" id="{E3DFC5DD-FC30-4FB7-9C00-03D822EAB3B4}">
            <xm:f>IF(STATISTICS!$J$4=FALSE, TRUE, FALSE)</xm:f>
            <x14:dxf>
              <font>
                <strike/>
              </font>
            </x14:dxf>
          </x14:cfRule>
          <xm:sqref>B6:E8</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A9E87-8922-4C34-8E77-BDB2C16D712A}">
  <dimension ref="A1:F52"/>
  <sheetViews>
    <sheetView topLeftCell="A3" workbookViewId="0">
      <selection activeCell="C9" sqref="C9"/>
    </sheetView>
  </sheetViews>
  <sheetFormatPr defaultRowHeight="15" x14ac:dyDescent="0.2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x14ac:dyDescent="0.25">
      <c r="A1" s="5" t="s">
        <v>42</v>
      </c>
      <c r="B1" s="5" t="s">
        <v>43</v>
      </c>
      <c r="C1" s="5" t="s">
        <v>44</v>
      </c>
      <c r="D1" s="5" t="s">
        <v>45</v>
      </c>
      <c r="E1" s="5" t="s">
        <v>46</v>
      </c>
      <c r="F1" s="14"/>
    </row>
    <row r="2" spans="1:6" s="6" customFormat="1" ht="60" x14ac:dyDescent="0.25">
      <c r="A2" s="31" t="s">
        <v>469</v>
      </c>
      <c r="B2" s="6" t="s">
        <v>470</v>
      </c>
      <c r="C2" s="7" t="s">
        <v>471</v>
      </c>
      <c r="D2" s="6">
        <v>2</v>
      </c>
    </row>
    <row r="3" spans="1:6" s="6" customFormat="1" ht="105" x14ac:dyDescent="0.25">
      <c r="A3" s="31"/>
      <c r="B3" s="6" t="s">
        <v>472</v>
      </c>
      <c r="C3" s="7" t="s">
        <v>473</v>
      </c>
      <c r="D3" s="6">
        <v>2</v>
      </c>
    </row>
    <row r="4" spans="1:6" s="6" customFormat="1" ht="75" x14ac:dyDescent="0.25">
      <c r="A4" s="31" t="s">
        <v>474</v>
      </c>
      <c r="B4" s="6" t="s">
        <v>475</v>
      </c>
      <c r="C4" s="7" t="s">
        <v>476</v>
      </c>
      <c r="D4" s="6">
        <v>2</v>
      </c>
    </row>
    <row r="5" spans="1:6" s="6" customFormat="1" ht="60" x14ac:dyDescent="0.25">
      <c r="A5" s="31"/>
      <c r="B5" s="6" t="s">
        <v>477</v>
      </c>
      <c r="C5" s="7" t="s">
        <v>478</v>
      </c>
      <c r="D5" s="6">
        <v>2</v>
      </c>
    </row>
    <row r="6" spans="1:6" s="6" customFormat="1" ht="30" x14ac:dyDescent="0.25">
      <c r="A6" s="31"/>
      <c r="B6" s="6" t="s">
        <v>479</v>
      </c>
      <c r="C6" s="7" t="s">
        <v>480</v>
      </c>
      <c r="D6" s="6">
        <v>3</v>
      </c>
    </row>
    <row r="7" spans="1:6" s="6" customFormat="1" ht="60" x14ac:dyDescent="0.25">
      <c r="A7" s="31" t="s">
        <v>481</v>
      </c>
      <c r="B7" s="6" t="s">
        <v>482</v>
      </c>
      <c r="C7" s="7" t="s">
        <v>483</v>
      </c>
      <c r="D7" s="6">
        <v>2</v>
      </c>
    </row>
    <row r="8" spans="1:6" s="6" customFormat="1" ht="60" x14ac:dyDescent="0.25">
      <c r="A8" s="31"/>
      <c r="B8" s="6" t="s">
        <v>484</v>
      </c>
      <c r="C8" s="7" t="s">
        <v>485</v>
      </c>
      <c r="D8" s="6">
        <v>2</v>
      </c>
    </row>
    <row r="9" spans="1:6" s="6" customFormat="1" ht="60" x14ac:dyDescent="0.25">
      <c r="A9" s="31"/>
      <c r="B9" s="6" t="s">
        <v>486</v>
      </c>
      <c r="C9" s="7" t="s">
        <v>487</v>
      </c>
      <c r="D9" s="6">
        <v>2</v>
      </c>
    </row>
    <row r="10" spans="1:6" s="6" customFormat="1" ht="60" x14ac:dyDescent="0.25">
      <c r="A10" s="31"/>
      <c r="B10" s="6" t="s">
        <v>488</v>
      </c>
      <c r="C10" s="7" t="s">
        <v>489</v>
      </c>
      <c r="D10" s="6">
        <v>2</v>
      </c>
    </row>
    <row r="11" spans="1:6" s="6" customFormat="1" ht="60" x14ac:dyDescent="0.25">
      <c r="A11" s="31"/>
      <c r="B11" s="6" t="s">
        <v>490</v>
      </c>
      <c r="C11" s="7" t="s">
        <v>491</v>
      </c>
      <c r="D11" s="6">
        <v>3</v>
      </c>
    </row>
    <row r="12" spans="1:6" s="6" customFormat="1" ht="30" x14ac:dyDescent="0.25">
      <c r="A12" s="31"/>
      <c r="B12" s="6" t="s">
        <v>492</v>
      </c>
      <c r="C12" s="7" t="s">
        <v>493</v>
      </c>
      <c r="D12" s="6">
        <v>1</v>
      </c>
    </row>
    <row r="13" spans="1:6" s="6" customFormat="1" ht="75" x14ac:dyDescent="0.25">
      <c r="A13" s="31"/>
      <c r="B13" s="6" t="s">
        <v>494</v>
      </c>
      <c r="C13" s="7" t="s">
        <v>495</v>
      </c>
      <c r="D13" s="6">
        <v>1</v>
      </c>
    </row>
    <row r="14" spans="1:6" s="6" customFormat="1" ht="45" x14ac:dyDescent="0.25">
      <c r="A14" s="31"/>
      <c r="B14" s="6" t="s">
        <v>496</v>
      </c>
      <c r="C14" s="7" t="s">
        <v>497</v>
      </c>
      <c r="D14" s="6">
        <v>1</v>
      </c>
    </row>
    <row r="15" spans="1:6" s="6" customFormat="1" ht="60" x14ac:dyDescent="0.25">
      <c r="A15" s="31"/>
      <c r="B15" s="6" t="s">
        <v>498</v>
      </c>
      <c r="C15" s="7" t="s">
        <v>499</v>
      </c>
      <c r="D15" s="6">
        <v>1</v>
      </c>
    </row>
    <row r="16" spans="1:6" s="6" customFormat="1" ht="120" x14ac:dyDescent="0.25">
      <c r="A16" s="31"/>
      <c r="B16" s="6" t="s">
        <v>500</v>
      </c>
      <c r="C16" s="7" t="s">
        <v>501</v>
      </c>
      <c r="D16" s="6">
        <v>1</v>
      </c>
    </row>
    <row r="17" spans="1:4" s="6" customFormat="1" ht="90" x14ac:dyDescent="0.25">
      <c r="A17" s="31"/>
      <c r="B17" s="6" t="s">
        <v>502</v>
      </c>
      <c r="C17" s="7" t="s">
        <v>503</v>
      </c>
      <c r="D17" s="6">
        <v>2</v>
      </c>
    </row>
    <row r="18" spans="1:4" s="6" customFormat="1" ht="75" x14ac:dyDescent="0.25">
      <c r="A18" s="31"/>
      <c r="B18" s="6" t="s">
        <v>504</v>
      </c>
      <c r="C18" s="7" t="s">
        <v>505</v>
      </c>
      <c r="D18" s="6">
        <v>2</v>
      </c>
    </row>
    <row r="19" spans="1:4" s="6" customFormat="1" ht="30" x14ac:dyDescent="0.25">
      <c r="A19" s="31"/>
      <c r="B19" s="6" t="s">
        <v>506</v>
      </c>
      <c r="C19" s="7" t="s">
        <v>507</v>
      </c>
      <c r="D19" s="6">
        <v>2</v>
      </c>
    </row>
    <row r="20" spans="1:4" s="6" customFormat="1" ht="45" x14ac:dyDescent="0.25">
      <c r="A20" s="31"/>
      <c r="B20" s="6" t="s">
        <v>508</v>
      </c>
      <c r="C20" s="7" t="s">
        <v>509</v>
      </c>
      <c r="D20" s="6">
        <v>2</v>
      </c>
    </row>
    <row r="21" spans="1:4" s="6" customFormat="1" ht="45" x14ac:dyDescent="0.25">
      <c r="A21" s="31"/>
      <c r="B21" s="6" t="s">
        <v>510</v>
      </c>
      <c r="C21" s="7" t="s">
        <v>511</v>
      </c>
      <c r="D21" s="6">
        <v>2</v>
      </c>
    </row>
    <row r="22" spans="1:4" s="6" customFormat="1" ht="30" x14ac:dyDescent="0.25">
      <c r="A22" s="31"/>
      <c r="B22" s="6" t="s">
        <v>512</v>
      </c>
      <c r="C22" s="7" t="s">
        <v>513</v>
      </c>
      <c r="D22" s="6">
        <v>2</v>
      </c>
    </row>
    <row r="23" spans="1:4" s="6" customFormat="1" ht="75" x14ac:dyDescent="0.25">
      <c r="A23" s="31"/>
      <c r="B23" s="6" t="s">
        <v>514</v>
      </c>
      <c r="C23" s="7" t="s">
        <v>515</v>
      </c>
      <c r="D23" s="6">
        <v>3</v>
      </c>
    </row>
    <row r="24" spans="1:4" s="6" customFormat="1" ht="30" x14ac:dyDescent="0.25">
      <c r="A24" s="31"/>
      <c r="B24" s="6" t="s">
        <v>516</v>
      </c>
      <c r="C24" s="7" t="s">
        <v>517</v>
      </c>
      <c r="D24" s="6">
        <v>3</v>
      </c>
    </row>
    <row r="25" spans="1:4" s="6" customFormat="1" ht="60" x14ac:dyDescent="0.25">
      <c r="A25" s="31"/>
      <c r="B25" s="6" t="s">
        <v>518</v>
      </c>
      <c r="C25" s="7" t="s">
        <v>519</v>
      </c>
      <c r="D25" s="6">
        <v>3</v>
      </c>
    </row>
    <row r="26" spans="1:4" s="6" customFormat="1" ht="75" x14ac:dyDescent="0.25">
      <c r="A26" s="31"/>
      <c r="B26" s="6" t="s">
        <v>520</v>
      </c>
      <c r="C26" s="7" t="s">
        <v>521</v>
      </c>
      <c r="D26" s="6">
        <v>3</v>
      </c>
    </row>
    <row r="27" spans="1:4" s="6" customFormat="1" ht="75" x14ac:dyDescent="0.25">
      <c r="A27" s="31"/>
      <c r="B27" s="6" t="s">
        <v>522</v>
      </c>
      <c r="C27" s="7" t="s">
        <v>523</v>
      </c>
      <c r="D27" s="6">
        <v>3</v>
      </c>
    </row>
    <row r="28" spans="1:4" s="6" customFormat="1" ht="75" x14ac:dyDescent="0.25">
      <c r="A28" s="31" t="s">
        <v>524</v>
      </c>
      <c r="B28" s="6" t="s">
        <v>525</v>
      </c>
      <c r="C28" s="7" t="s">
        <v>526</v>
      </c>
      <c r="D28" s="6">
        <v>2</v>
      </c>
    </row>
    <row r="29" spans="1:4" s="6" customFormat="1" ht="45" x14ac:dyDescent="0.25">
      <c r="A29" s="31"/>
      <c r="B29" s="6" t="s">
        <v>527</v>
      </c>
      <c r="C29" s="7" t="s">
        <v>528</v>
      </c>
      <c r="D29" s="6">
        <v>2</v>
      </c>
    </row>
    <row r="30" spans="1:4" s="6" customFormat="1" ht="75" x14ac:dyDescent="0.25">
      <c r="A30" s="31"/>
      <c r="B30" s="6" t="s">
        <v>529</v>
      </c>
      <c r="C30" s="7" t="s">
        <v>530</v>
      </c>
      <c r="D30" s="6">
        <v>2</v>
      </c>
    </row>
    <row r="31" spans="1:4" s="6" customFormat="1" ht="45" x14ac:dyDescent="0.25">
      <c r="A31" s="31"/>
      <c r="B31" s="6" t="s">
        <v>531</v>
      </c>
      <c r="C31" s="7" t="s">
        <v>532</v>
      </c>
      <c r="D31" s="6">
        <v>2</v>
      </c>
    </row>
    <row r="32" spans="1:4" s="6" customFormat="1" ht="90" x14ac:dyDescent="0.25">
      <c r="A32" s="31"/>
      <c r="B32" s="6" t="s">
        <v>533</v>
      </c>
      <c r="C32" s="7" t="s">
        <v>534</v>
      </c>
      <c r="D32" s="6">
        <v>2</v>
      </c>
    </row>
    <row r="33" spans="1:4" s="6" customFormat="1" ht="60" x14ac:dyDescent="0.25">
      <c r="A33" s="31" t="s">
        <v>535</v>
      </c>
      <c r="B33" s="6" t="s">
        <v>536</v>
      </c>
      <c r="C33" s="7" t="s">
        <v>537</v>
      </c>
      <c r="D33" s="6">
        <v>2</v>
      </c>
    </row>
    <row r="34" spans="1:4" s="6" customFormat="1" ht="60" x14ac:dyDescent="0.25">
      <c r="A34" s="31"/>
      <c r="B34" s="6" t="s">
        <v>538</v>
      </c>
      <c r="C34" s="7" t="s">
        <v>539</v>
      </c>
      <c r="D34" s="6">
        <v>2</v>
      </c>
    </row>
    <row r="35" spans="1:4" s="6" customFormat="1" ht="45" x14ac:dyDescent="0.25">
      <c r="A35" s="31" t="s">
        <v>540</v>
      </c>
      <c r="B35" s="6" t="s">
        <v>541</v>
      </c>
      <c r="C35" s="7" t="s">
        <v>542</v>
      </c>
      <c r="D35" s="6">
        <v>2</v>
      </c>
    </row>
    <row r="36" spans="1:4" s="6" customFormat="1" ht="90" x14ac:dyDescent="0.25">
      <c r="A36" s="31"/>
      <c r="B36" s="6" t="s">
        <v>543</v>
      </c>
      <c r="C36" s="7" t="s">
        <v>544</v>
      </c>
      <c r="D36" s="6">
        <v>2</v>
      </c>
    </row>
    <row r="37" spans="1:4" s="6" customFormat="1" ht="30" x14ac:dyDescent="0.25">
      <c r="A37" s="31"/>
      <c r="B37" s="6" t="s">
        <v>545</v>
      </c>
      <c r="C37" s="7" t="s">
        <v>546</v>
      </c>
      <c r="D37" s="6">
        <v>2</v>
      </c>
    </row>
    <row r="38" spans="1:4" s="6" customFormat="1" x14ac:dyDescent="0.25">
      <c r="A38" s="12"/>
      <c r="C38" s="7"/>
    </row>
    <row r="39" spans="1:4" s="6" customFormat="1" x14ac:dyDescent="0.25">
      <c r="A39" s="12"/>
      <c r="C39" s="7"/>
    </row>
    <row r="40" spans="1:4" s="6" customFormat="1" x14ac:dyDescent="0.25">
      <c r="A40" s="12"/>
      <c r="C40" s="7"/>
    </row>
    <row r="41" spans="1:4" s="6" customFormat="1" x14ac:dyDescent="0.25">
      <c r="A41" s="12"/>
      <c r="C41" s="7"/>
    </row>
    <row r="42" spans="1:4" s="6" customFormat="1" x14ac:dyDescent="0.25">
      <c r="A42" s="12"/>
      <c r="C42" s="7"/>
    </row>
    <row r="43" spans="1:4" s="6" customFormat="1" x14ac:dyDescent="0.25">
      <c r="A43" s="12"/>
      <c r="C43" s="7"/>
    </row>
    <row r="44" spans="1:4" s="6" customFormat="1" x14ac:dyDescent="0.25">
      <c r="A44" s="12"/>
      <c r="C44" s="7"/>
    </row>
    <row r="45" spans="1:4" s="6" customFormat="1" x14ac:dyDescent="0.25">
      <c r="A45" s="12"/>
      <c r="C45" s="7"/>
    </row>
    <row r="46" spans="1:4" s="6" customFormat="1" x14ac:dyDescent="0.25">
      <c r="A46" s="12"/>
      <c r="C46" s="7"/>
    </row>
    <row r="47" spans="1:4" s="6" customFormat="1" x14ac:dyDescent="0.25">
      <c r="A47" s="12"/>
      <c r="C47" s="7"/>
    </row>
    <row r="48" spans="1:4" s="6" customFormat="1" x14ac:dyDescent="0.25">
      <c r="A48" s="12"/>
      <c r="C48" s="7"/>
    </row>
    <row r="49" spans="1:1" x14ac:dyDescent="0.25">
      <c r="A49" s="15"/>
    </row>
    <row r="50" spans="1:1" x14ac:dyDescent="0.25">
      <c r="A50" s="15"/>
    </row>
    <row r="51" spans="1:1" x14ac:dyDescent="0.25">
      <c r="A51" s="15"/>
    </row>
    <row r="52" spans="1:1" x14ac:dyDescent="0.25">
      <c r="A52" s="15"/>
    </row>
  </sheetData>
  <mergeCells count="6">
    <mergeCell ref="A33:A34"/>
    <mergeCell ref="A35:A37"/>
    <mergeCell ref="A2:A3"/>
    <mergeCell ref="A4:A6"/>
    <mergeCell ref="A7:A27"/>
    <mergeCell ref="A28:A32"/>
  </mergeCells>
  <dataValidations count="1">
    <dataValidation type="list" allowBlank="1" showInputMessage="1" showErrorMessage="1" sqref="E2:E37" xr:uid="{43AB3345-312C-4F70-B0FB-86DCEB641E83}">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90" id="{30EE2A7D-9CFB-475F-83C1-54F539CC4C3E}">
            <xm:f>IF(STATISTICS!$J$4=FALSE, TRUE, FALSE)</xm:f>
            <x14:dxf>
              <font>
                <strike/>
              </font>
            </x14:dxf>
          </x14:cfRule>
          <xm:sqref>B2:E5 B7:E10 B17:E22 B28:E37</xm:sqref>
        </x14:conditionalFormatting>
        <x14:conditionalFormatting xmlns:xm="http://schemas.microsoft.com/office/excel/2006/main">
          <x14:cfRule type="expression" priority="2" id="{0B11A740-5954-4FE4-BF8D-E50E2DB71972}">
            <xm:f>IF(STATISTICS!$K$4=FALSE, TRUE, FALSE)</xm:f>
            <x14:dxf>
              <font>
                <strike/>
              </font>
            </x14:dxf>
          </x14:cfRule>
          <xm:sqref>B6:E6 B11:E11 B23:E27</xm:sqref>
        </x14:conditionalFormatting>
        <x14:conditionalFormatting xmlns:xm="http://schemas.microsoft.com/office/excel/2006/main">
          <x14:cfRule type="expression" priority="94" id="{0B11A740-5954-4FE4-BF8D-E50E2DB71972}">
            <xm:f>IF(STATISTICS!$I$4=FALSE, TRUE, FALSE)</xm:f>
            <x14:dxf>
              <font>
                <strike/>
              </font>
            </x14:dxf>
          </x14:cfRule>
          <xm:sqref>B12:E16</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4D481-0AA2-467F-A0DD-2D4EBE163BF5}">
  <dimension ref="A1:F63"/>
  <sheetViews>
    <sheetView workbookViewId="0"/>
  </sheetViews>
  <sheetFormatPr defaultRowHeight="15" x14ac:dyDescent="0.2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x14ac:dyDescent="0.25">
      <c r="A1" s="5" t="s">
        <v>42</v>
      </c>
      <c r="B1" s="5" t="s">
        <v>43</v>
      </c>
      <c r="C1" s="5" t="s">
        <v>44</v>
      </c>
      <c r="D1" s="5" t="s">
        <v>45</v>
      </c>
      <c r="E1" s="5" t="s">
        <v>46</v>
      </c>
      <c r="F1" s="14"/>
    </row>
    <row r="2" spans="1:6" s="6" customFormat="1" ht="75" x14ac:dyDescent="0.25">
      <c r="A2" s="31" t="s">
        <v>547</v>
      </c>
      <c r="B2" s="6" t="s">
        <v>548</v>
      </c>
      <c r="C2" s="7" t="s">
        <v>549</v>
      </c>
      <c r="D2" s="6">
        <v>2</v>
      </c>
    </row>
    <row r="3" spans="1:6" s="6" customFormat="1" ht="75" x14ac:dyDescent="0.25">
      <c r="A3" s="31"/>
      <c r="B3" s="6" t="s">
        <v>550</v>
      </c>
      <c r="C3" s="7" t="s">
        <v>551</v>
      </c>
      <c r="D3" s="6">
        <v>2</v>
      </c>
    </row>
    <row r="4" spans="1:6" s="6" customFormat="1" ht="45" x14ac:dyDescent="0.25">
      <c r="A4" s="31"/>
      <c r="B4" s="6" t="s">
        <v>552</v>
      </c>
      <c r="C4" s="7" t="s">
        <v>553</v>
      </c>
      <c r="D4" s="6">
        <v>3</v>
      </c>
    </row>
    <row r="5" spans="1:6" s="6" customFormat="1" ht="60" x14ac:dyDescent="0.25">
      <c r="A5" s="31"/>
      <c r="B5" s="6" t="s">
        <v>554</v>
      </c>
      <c r="C5" s="7" t="s">
        <v>555</v>
      </c>
      <c r="D5" s="6">
        <v>3</v>
      </c>
    </row>
    <row r="6" spans="1:6" s="6" customFormat="1" ht="45" x14ac:dyDescent="0.25">
      <c r="A6" s="31" t="s">
        <v>556</v>
      </c>
      <c r="B6" s="6" t="s">
        <v>557</v>
      </c>
      <c r="C6" s="7" t="s">
        <v>558</v>
      </c>
      <c r="D6" s="6">
        <v>2</v>
      </c>
    </row>
    <row r="7" spans="1:6" s="6" customFormat="1" ht="120" x14ac:dyDescent="0.25">
      <c r="A7" s="31"/>
      <c r="B7" s="6" t="s">
        <v>559</v>
      </c>
      <c r="C7" s="7" t="s">
        <v>560</v>
      </c>
      <c r="D7" s="6">
        <v>2</v>
      </c>
    </row>
    <row r="8" spans="1:6" s="6" customFormat="1" ht="60" x14ac:dyDescent="0.25">
      <c r="A8" s="31"/>
      <c r="B8" s="6" t="s">
        <v>561</v>
      </c>
      <c r="C8" s="7" t="s">
        <v>562</v>
      </c>
      <c r="D8" s="6">
        <v>2</v>
      </c>
    </row>
    <row r="9" spans="1:6" s="6" customFormat="1" ht="45" x14ac:dyDescent="0.25">
      <c r="A9" s="31"/>
      <c r="B9" s="6" t="s">
        <v>563</v>
      </c>
      <c r="C9" s="7" t="s">
        <v>564</v>
      </c>
      <c r="D9" s="6">
        <v>3</v>
      </c>
    </row>
    <row r="10" spans="1:6" s="6" customFormat="1" ht="30" x14ac:dyDescent="0.25">
      <c r="A10" s="31"/>
      <c r="B10" s="6" t="s">
        <v>565</v>
      </c>
      <c r="C10" s="7" t="s">
        <v>566</v>
      </c>
      <c r="D10" s="6">
        <v>3</v>
      </c>
    </row>
    <row r="11" spans="1:6" s="6" customFormat="1" ht="30" x14ac:dyDescent="0.25">
      <c r="A11" s="31" t="s">
        <v>567</v>
      </c>
      <c r="B11" s="6" t="s">
        <v>568</v>
      </c>
      <c r="C11" s="7" t="s">
        <v>569</v>
      </c>
      <c r="D11" s="6">
        <v>1</v>
      </c>
    </row>
    <row r="12" spans="1:6" s="6" customFormat="1" ht="30" x14ac:dyDescent="0.25">
      <c r="A12" s="31"/>
      <c r="B12" s="6" t="s">
        <v>570</v>
      </c>
      <c r="C12" s="7" t="s">
        <v>571</v>
      </c>
      <c r="D12" s="6">
        <v>1</v>
      </c>
    </row>
    <row r="13" spans="1:6" s="6" customFormat="1" ht="45" x14ac:dyDescent="0.25">
      <c r="A13" s="31"/>
      <c r="B13" s="6" t="s">
        <v>572</v>
      </c>
      <c r="C13" s="7" t="s">
        <v>573</v>
      </c>
      <c r="D13" s="6">
        <v>2</v>
      </c>
    </row>
    <row r="14" spans="1:6" s="6" customFormat="1" ht="45" x14ac:dyDescent="0.25">
      <c r="A14" s="31"/>
      <c r="B14" s="6" t="s">
        <v>574</v>
      </c>
      <c r="C14" s="7" t="s">
        <v>575</v>
      </c>
      <c r="D14" s="6">
        <v>3</v>
      </c>
    </row>
    <row r="15" spans="1:6" s="6" customFormat="1" ht="30" x14ac:dyDescent="0.25">
      <c r="A15" s="31"/>
      <c r="B15" s="6" t="s">
        <v>576</v>
      </c>
      <c r="C15" s="7" t="s">
        <v>577</v>
      </c>
      <c r="D15" s="6">
        <v>3</v>
      </c>
    </row>
    <row r="16" spans="1:6" s="6" customFormat="1" ht="60" x14ac:dyDescent="0.25">
      <c r="A16" s="31" t="s">
        <v>578</v>
      </c>
      <c r="B16" s="6" t="s">
        <v>579</v>
      </c>
      <c r="C16" s="7" t="s">
        <v>580</v>
      </c>
      <c r="D16" s="6">
        <v>1</v>
      </c>
    </row>
    <row r="17" spans="1:4" s="6" customFormat="1" ht="75" x14ac:dyDescent="0.25">
      <c r="A17" s="31"/>
      <c r="B17" s="6" t="s">
        <v>581</v>
      </c>
      <c r="C17" s="7" t="s">
        <v>582</v>
      </c>
      <c r="D17" s="6">
        <v>2</v>
      </c>
    </row>
    <row r="18" spans="1:4" s="6" customFormat="1" ht="75" x14ac:dyDescent="0.25">
      <c r="A18" s="31"/>
      <c r="B18" s="6" t="s">
        <v>583</v>
      </c>
      <c r="C18" s="7" t="s">
        <v>584</v>
      </c>
      <c r="D18" s="6">
        <v>2</v>
      </c>
    </row>
    <row r="19" spans="1:4" s="6" customFormat="1" ht="60" x14ac:dyDescent="0.25">
      <c r="A19" s="31"/>
      <c r="B19" s="6" t="s">
        <v>585</v>
      </c>
      <c r="C19" s="7" t="s">
        <v>586</v>
      </c>
      <c r="D19" s="6">
        <v>2</v>
      </c>
    </row>
    <row r="20" spans="1:4" s="6" customFormat="1" ht="60" x14ac:dyDescent="0.25">
      <c r="A20" s="31" t="s">
        <v>587</v>
      </c>
      <c r="B20" s="6" t="s">
        <v>588</v>
      </c>
      <c r="C20" s="7" t="s">
        <v>589</v>
      </c>
      <c r="D20" s="6">
        <v>2</v>
      </c>
    </row>
    <row r="21" spans="1:4" s="6" customFormat="1" ht="30" x14ac:dyDescent="0.25">
      <c r="A21" s="31"/>
      <c r="B21" s="6" t="s">
        <v>590</v>
      </c>
      <c r="C21" s="7" t="s">
        <v>591</v>
      </c>
      <c r="D21" s="6">
        <v>3</v>
      </c>
    </row>
    <row r="22" spans="1:4" s="6" customFormat="1" ht="75" x14ac:dyDescent="0.25">
      <c r="A22" s="31" t="s">
        <v>592</v>
      </c>
      <c r="B22" s="6" t="s">
        <v>593</v>
      </c>
      <c r="C22" s="7" t="s">
        <v>594</v>
      </c>
      <c r="D22" s="6">
        <v>2</v>
      </c>
    </row>
    <row r="23" spans="1:4" s="6" customFormat="1" ht="75" x14ac:dyDescent="0.25">
      <c r="A23" s="31"/>
      <c r="B23" s="6" t="s">
        <v>595</v>
      </c>
      <c r="C23" s="7" t="s">
        <v>596</v>
      </c>
      <c r="D23" s="6">
        <v>3</v>
      </c>
    </row>
    <row r="24" spans="1:4" s="6" customFormat="1" ht="30" x14ac:dyDescent="0.25">
      <c r="A24" s="31" t="s">
        <v>597</v>
      </c>
      <c r="B24" s="6" t="s">
        <v>598</v>
      </c>
      <c r="C24" s="7" t="s">
        <v>599</v>
      </c>
      <c r="D24" s="6">
        <v>3</v>
      </c>
    </row>
    <row r="25" spans="1:4" s="6" customFormat="1" ht="45" x14ac:dyDescent="0.25">
      <c r="A25" s="31"/>
      <c r="B25" s="6" t="s">
        <v>600</v>
      </c>
      <c r="C25" s="7" t="s">
        <v>601</v>
      </c>
      <c r="D25" s="6">
        <v>3</v>
      </c>
    </row>
    <row r="26" spans="1:4" s="6" customFormat="1" x14ac:dyDescent="0.25">
      <c r="A26" s="12"/>
      <c r="C26" s="7"/>
    </row>
    <row r="27" spans="1:4" s="6" customFormat="1" x14ac:dyDescent="0.25">
      <c r="A27" s="12"/>
      <c r="C27" s="7"/>
    </row>
    <row r="28" spans="1:4" s="6" customFormat="1" x14ac:dyDescent="0.25">
      <c r="A28" s="12"/>
      <c r="C28" s="7"/>
    </row>
    <row r="29" spans="1:4" s="6" customFormat="1" x14ac:dyDescent="0.25">
      <c r="A29" s="12"/>
      <c r="C29" s="7"/>
    </row>
    <row r="30" spans="1:4" s="6" customFormat="1" x14ac:dyDescent="0.25">
      <c r="A30" s="12"/>
      <c r="C30" s="7"/>
    </row>
    <row r="31" spans="1:4" s="6" customFormat="1" x14ac:dyDescent="0.25">
      <c r="A31" s="12"/>
      <c r="C31" s="7"/>
    </row>
    <row r="32" spans="1:4" s="6" customFormat="1" x14ac:dyDescent="0.25">
      <c r="A32" s="12"/>
      <c r="C32" s="7"/>
    </row>
    <row r="33" spans="1:3" s="6" customFormat="1" x14ac:dyDescent="0.25">
      <c r="A33" s="12"/>
      <c r="C33" s="7"/>
    </row>
    <row r="34" spans="1:3" s="6" customFormat="1" x14ac:dyDescent="0.25">
      <c r="A34" s="12"/>
      <c r="C34" s="7"/>
    </row>
    <row r="35" spans="1:3" s="6" customFormat="1" x14ac:dyDescent="0.25">
      <c r="A35" s="12"/>
      <c r="C35" s="7"/>
    </row>
    <row r="36" spans="1:3" s="6" customFormat="1" x14ac:dyDescent="0.25">
      <c r="A36" s="12"/>
      <c r="C36" s="7"/>
    </row>
    <row r="37" spans="1:3" s="6" customFormat="1" x14ac:dyDescent="0.25">
      <c r="A37" s="12"/>
      <c r="C37" s="7"/>
    </row>
    <row r="38" spans="1:3" s="6" customFormat="1" x14ac:dyDescent="0.25">
      <c r="A38" s="12"/>
      <c r="C38" s="7"/>
    </row>
    <row r="39" spans="1:3" s="6" customFormat="1" x14ac:dyDescent="0.25">
      <c r="A39" s="12"/>
      <c r="C39" s="7"/>
    </row>
    <row r="40" spans="1:3" s="6" customFormat="1" x14ac:dyDescent="0.25">
      <c r="A40" s="12"/>
      <c r="C40" s="7"/>
    </row>
    <row r="41" spans="1:3" s="6" customFormat="1" x14ac:dyDescent="0.25">
      <c r="A41" s="12"/>
      <c r="C41" s="7"/>
    </row>
    <row r="42" spans="1:3" s="6" customFormat="1" x14ac:dyDescent="0.25">
      <c r="A42" s="12"/>
      <c r="C42" s="7"/>
    </row>
    <row r="43" spans="1:3" s="6" customFormat="1" x14ac:dyDescent="0.25">
      <c r="A43" s="12"/>
      <c r="C43" s="7"/>
    </row>
    <row r="44" spans="1:3" s="6" customFormat="1" x14ac:dyDescent="0.25">
      <c r="A44" s="12"/>
      <c r="C44" s="7"/>
    </row>
    <row r="45" spans="1:3" s="6" customFormat="1" x14ac:dyDescent="0.25">
      <c r="A45" s="12"/>
      <c r="C45" s="7"/>
    </row>
    <row r="46" spans="1:3" s="6" customFormat="1" x14ac:dyDescent="0.25">
      <c r="A46" s="12"/>
      <c r="C46" s="7"/>
    </row>
    <row r="47" spans="1:3" s="6" customFormat="1" x14ac:dyDescent="0.25">
      <c r="A47" s="12"/>
      <c r="C47" s="7"/>
    </row>
    <row r="48" spans="1:3" s="6" customFormat="1" x14ac:dyDescent="0.25">
      <c r="A48" s="12"/>
      <c r="C48" s="7"/>
    </row>
    <row r="49" spans="1:1" x14ac:dyDescent="0.25">
      <c r="A49" s="15"/>
    </row>
    <row r="50" spans="1:1" x14ac:dyDescent="0.25">
      <c r="A50" s="15"/>
    </row>
    <row r="51" spans="1:1" x14ac:dyDescent="0.25">
      <c r="A51" s="15"/>
    </row>
    <row r="52" spans="1:1" x14ac:dyDescent="0.25">
      <c r="A52" s="15"/>
    </row>
    <row r="53" spans="1:1" x14ac:dyDescent="0.25">
      <c r="A53" s="15"/>
    </row>
    <row r="54" spans="1:1" x14ac:dyDescent="0.25">
      <c r="A54" s="15"/>
    </row>
    <row r="55" spans="1:1" x14ac:dyDescent="0.25">
      <c r="A55" s="15"/>
    </row>
    <row r="56" spans="1:1" x14ac:dyDescent="0.25">
      <c r="A56" s="15"/>
    </row>
    <row r="57" spans="1:1" x14ac:dyDescent="0.25">
      <c r="A57" s="15"/>
    </row>
    <row r="58" spans="1:1" x14ac:dyDescent="0.25">
      <c r="A58" s="15"/>
    </row>
    <row r="59" spans="1:1" x14ac:dyDescent="0.25">
      <c r="A59" s="15"/>
    </row>
    <row r="60" spans="1:1" x14ac:dyDescent="0.25">
      <c r="A60" s="15"/>
    </row>
    <row r="61" spans="1:1" x14ac:dyDescent="0.25">
      <c r="A61" s="15"/>
    </row>
    <row r="62" spans="1:1" x14ac:dyDescent="0.25">
      <c r="A62" s="15"/>
    </row>
    <row r="63" spans="1:1" x14ac:dyDescent="0.25">
      <c r="A63" s="15"/>
    </row>
  </sheetData>
  <mergeCells count="7">
    <mergeCell ref="A20:A21"/>
    <mergeCell ref="A22:A23"/>
    <mergeCell ref="A24:A25"/>
    <mergeCell ref="A2:A5"/>
    <mergeCell ref="A6:A10"/>
    <mergeCell ref="A11:A15"/>
    <mergeCell ref="A16:A19"/>
  </mergeCells>
  <dataValidations count="1">
    <dataValidation type="list" allowBlank="1" showInputMessage="1" showErrorMessage="1" sqref="E2:E25" xr:uid="{0E5ACA6E-346D-4550-99EF-FB7FA863954F}">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98" id="{F96121E0-2731-438B-ACFF-D211D8EAE424}">
            <xm:f>IF(STATISTICS!$J$4=FALSE, TRUE, FALSE)</xm:f>
            <x14:dxf>
              <font>
                <strike/>
              </font>
            </x14:dxf>
          </x14:cfRule>
          <xm:sqref>B2:E3 B6:E8 B13:E13 B17:E20 B22:E22</xm:sqref>
        </x14:conditionalFormatting>
        <x14:conditionalFormatting xmlns:xm="http://schemas.microsoft.com/office/excel/2006/main">
          <x14:cfRule type="expression" priority="2" id="{5F0F510D-35DC-4965-BF99-F831CB414CC9}">
            <xm:f>IF(STATISTICS!$K$4=FALSE, TRUE, FALSE)</xm:f>
            <x14:dxf>
              <font>
                <strike/>
              </font>
            </x14:dxf>
          </x14:cfRule>
          <xm:sqref>B4:E5 B9:E10 B14:E15 B21:E21 B23:E25</xm:sqref>
        </x14:conditionalFormatting>
        <x14:conditionalFormatting xmlns:xm="http://schemas.microsoft.com/office/excel/2006/main">
          <x14:cfRule type="expression" priority="103" id="{5F0F510D-35DC-4965-BF99-F831CB414CC9}">
            <xm:f>IF(STATISTICS!$I$4=FALSE, TRUE, FALSE)</xm:f>
            <x14:dxf>
              <font>
                <strike/>
              </font>
            </x14:dxf>
          </x14:cfRule>
          <xm:sqref>B11:E12 B16:E16</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327893-3B17-4233-8E39-F638B40F0972}">
  <dimension ref="A1:F63"/>
  <sheetViews>
    <sheetView workbookViewId="0"/>
  </sheetViews>
  <sheetFormatPr defaultRowHeight="15" x14ac:dyDescent="0.2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x14ac:dyDescent="0.25">
      <c r="A1" s="5" t="s">
        <v>42</v>
      </c>
      <c r="B1" s="5" t="s">
        <v>43</v>
      </c>
      <c r="C1" s="5" t="s">
        <v>44</v>
      </c>
      <c r="D1" s="5" t="s">
        <v>45</v>
      </c>
      <c r="E1" s="5" t="s">
        <v>46</v>
      </c>
      <c r="F1" s="14"/>
    </row>
    <row r="2" spans="1:6" s="6" customFormat="1" ht="45" x14ac:dyDescent="0.25">
      <c r="A2" s="31" t="s">
        <v>602</v>
      </c>
      <c r="B2" s="6" t="s">
        <v>603</v>
      </c>
      <c r="C2" s="7" t="s">
        <v>604</v>
      </c>
      <c r="D2" s="6">
        <v>1</v>
      </c>
    </row>
    <row r="3" spans="1:6" s="6" customFormat="1" ht="45" x14ac:dyDescent="0.25">
      <c r="A3" s="31"/>
      <c r="B3" s="6" t="s">
        <v>605</v>
      </c>
      <c r="C3" s="7" t="s">
        <v>606</v>
      </c>
      <c r="D3" s="6">
        <v>2</v>
      </c>
    </row>
    <row r="4" spans="1:6" s="6" customFormat="1" ht="30" x14ac:dyDescent="0.25">
      <c r="A4" s="31"/>
      <c r="B4" s="6" t="s">
        <v>607</v>
      </c>
      <c r="C4" s="7" t="s">
        <v>608</v>
      </c>
      <c r="D4" s="6">
        <v>2</v>
      </c>
    </row>
    <row r="5" spans="1:6" s="6" customFormat="1" ht="30" x14ac:dyDescent="0.25">
      <c r="A5" s="31"/>
      <c r="B5" s="6" t="s">
        <v>609</v>
      </c>
      <c r="C5" s="7" t="s">
        <v>610</v>
      </c>
      <c r="D5" s="6">
        <v>3</v>
      </c>
    </row>
    <row r="6" spans="1:6" s="6" customFormat="1" ht="45" x14ac:dyDescent="0.25">
      <c r="A6" s="31"/>
      <c r="B6" s="6" t="s">
        <v>611</v>
      </c>
      <c r="C6" s="7" t="s">
        <v>612</v>
      </c>
      <c r="D6" s="6">
        <v>3</v>
      </c>
    </row>
    <row r="7" spans="1:6" s="6" customFormat="1" ht="45" x14ac:dyDescent="0.25">
      <c r="A7" s="31" t="s">
        <v>613</v>
      </c>
      <c r="B7" s="6" t="s">
        <v>614</v>
      </c>
      <c r="C7" s="7" t="s">
        <v>615</v>
      </c>
      <c r="D7" s="6">
        <v>1</v>
      </c>
    </row>
    <row r="8" spans="1:6" s="6" customFormat="1" ht="29.25" customHeight="1" x14ac:dyDescent="0.25">
      <c r="A8" s="31"/>
      <c r="B8" s="6" t="s">
        <v>616</v>
      </c>
      <c r="C8" s="7" t="s">
        <v>617</v>
      </c>
      <c r="D8" s="6">
        <v>1</v>
      </c>
    </row>
    <row r="9" spans="1:6" s="6" customFormat="1" ht="75" x14ac:dyDescent="0.25">
      <c r="A9" s="31" t="s">
        <v>618</v>
      </c>
      <c r="B9" s="6" t="s">
        <v>619</v>
      </c>
      <c r="C9" s="7" t="s">
        <v>620</v>
      </c>
      <c r="D9" s="6">
        <v>2</v>
      </c>
    </row>
    <row r="10" spans="1:6" s="6" customFormat="1" ht="30" x14ac:dyDescent="0.25">
      <c r="A10" s="31"/>
      <c r="B10" s="6" t="s">
        <v>621</v>
      </c>
      <c r="C10" s="7" t="s">
        <v>622</v>
      </c>
      <c r="D10" s="6">
        <v>2</v>
      </c>
    </row>
    <row r="11" spans="1:6" s="6" customFormat="1" ht="60" x14ac:dyDescent="0.25">
      <c r="A11" s="31"/>
      <c r="B11" s="6" t="s">
        <v>623</v>
      </c>
      <c r="C11" s="7" t="s">
        <v>624</v>
      </c>
      <c r="D11" s="6">
        <v>2</v>
      </c>
    </row>
    <row r="12" spans="1:6" s="6" customFormat="1" ht="60" x14ac:dyDescent="0.25">
      <c r="A12" s="31"/>
      <c r="B12" s="6" t="s">
        <v>625</v>
      </c>
      <c r="C12" s="7" t="s">
        <v>626</v>
      </c>
      <c r="D12" s="6">
        <v>2</v>
      </c>
    </row>
    <row r="13" spans="1:6" s="6" customFormat="1" ht="105" x14ac:dyDescent="0.25">
      <c r="A13" s="31"/>
      <c r="B13" s="6" t="s">
        <v>627</v>
      </c>
      <c r="C13" s="7" t="s">
        <v>628</v>
      </c>
      <c r="D13" s="6">
        <v>3</v>
      </c>
    </row>
    <row r="14" spans="1:6" s="6" customFormat="1" x14ac:dyDescent="0.25">
      <c r="A14" s="12"/>
      <c r="C14" s="7"/>
    </row>
    <row r="15" spans="1:6" s="6" customFormat="1" x14ac:dyDescent="0.25">
      <c r="A15" s="12"/>
      <c r="C15" s="7"/>
    </row>
    <row r="16" spans="1:6" s="6" customFormat="1" x14ac:dyDescent="0.25">
      <c r="A16" s="12"/>
      <c r="C16" s="7"/>
    </row>
    <row r="17" spans="1:3" s="6" customFormat="1" x14ac:dyDescent="0.25">
      <c r="A17" s="12"/>
      <c r="C17" s="7"/>
    </row>
    <row r="18" spans="1:3" s="6" customFormat="1" x14ac:dyDescent="0.25">
      <c r="A18" s="12"/>
      <c r="C18" s="7"/>
    </row>
    <row r="19" spans="1:3" s="6" customFormat="1" x14ac:dyDescent="0.25">
      <c r="A19" s="12"/>
      <c r="C19" s="7"/>
    </row>
    <row r="20" spans="1:3" s="6" customFormat="1" x14ac:dyDescent="0.25">
      <c r="A20" s="12"/>
      <c r="C20" s="7"/>
    </row>
    <row r="21" spans="1:3" s="6" customFormat="1" x14ac:dyDescent="0.25">
      <c r="A21" s="12"/>
      <c r="C21" s="7"/>
    </row>
    <row r="22" spans="1:3" s="6" customFormat="1" x14ac:dyDescent="0.25">
      <c r="A22" s="12"/>
      <c r="C22" s="7"/>
    </row>
    <row r="23" spans="1:3" s="6" customFormat="1" x14ac:dyDescent="0.25">
      <c r="A23" s="12"/>
      <c r="C23" s="7"/>
    </row>
    <row r="24" spans="1:3" s="6" customFormat="1" x14ac:dyDescent="0.25">
      <c r="A24" s="12"/>
      <c r="C24" s="7"/>
    </row>
    <row r="25" spans="1:3" s="6" customFormat="1" x14ac:dyDescent="0.25">
      <c r="A25" s="12"/>
      <c r="C25" s="7"/>
    </row>
    <row r="26" spans="1:3" s="6" customFormat="1" x14ac:dyDescent="0.25">
      <c r="A26" s="12"/>
      <c r="C26" s="7"/>
    </row>
    <row r="27" spans="1:3" s="6" customFormat="1" x14ac:dyDescent="0.25">
      <c r="A27" s="12"/>
      <c r="C27" s="7"/>
    </row>
    <row r="28" spans="1:3" s="6" customFormat="1" x14ac:dyDescent="0.25">
      <c r="A28" s="12"/>
      <c r="C28" s="7"/>
    </row>
    <row r="29" spans="1:3" s="6" customFormat="1" x14ac:dyDescent="0.25">
      <c r="A29" s="12"/>
      <c r="C29" s="7"/>
    </row>
    <row r="30" spans="1:3" s="6" customFormat="1" x14ac:dyDescent="0.25">
      <c r="A30" s="12"/>
      <c r="C30" s="7"/>
    </row>
    <row r="31" spans="1:3" s="6" customFormat="1" x14ac:dyDescent="0.25">
      <c r="A31" s="12"/>
      <c r="C31" s="7"/>
    </row>
    <row r="32" spans="1:3" s="6" customFormat="1" x14ac:dyDescent="0.25">
      <c r="A32" s="12"/>
      <c r="C32" s="7"/>
    </row>
    <row r="33" spans="1:3" s="6" customFormat="1" x14ac:dyDescent="0.25">
      <c r="A33" s="12"/>
      <c r="C33" s="7"/>
    </row>
    <row r="34" spans="1:3" s="6" customFormat="1" x14ac:dyDescent="0.25">
      <c r="A34" s="12"/>
      <c r="C34" s="7"/>
    </row>
    <row r="35" spans="1:3" s="6" customFormat="1" x14ac:dyDescent="0.25">
      <c r="A35" s="12"/>
      <c r="C35" s="7"/>
    </row>
    <row r="36" spans="1:3" s="6" customFormat="1" x14ac:dyDescent="0.25">
      <c r="A36" s="12"/>
      <c r="C36" s="7"/>
    </row>
    <row r="37" spans="1:3" s="6" customFormat="1" x14ac:dyDescent="0.25">
      <c r="A37" s="12"/>
      <c r="C37" s="7"/>
    </row>
    <row r="38" spans="1:3" s="6" customFormat="1" x14ac:dyDescent="0.25">
      <c r="A38" s="12"/>
      <c r="C38" s="7"/>
    </row>
    <row r="39" spans="1:3" s="6" customFormat="1" x14ac:dyDescent="0.25">
      <c r="A39" s="12"/>
      <c r="C39" s="7"/>
    </row>
    <row r="40" spans="1:3" s="6" customFormat="1" x14ac:dyDescent="0.25">
      <c r="A40" s="12"/>
      <c r="C40" s="7"/>
    </row>
    <row r="41" spans="1:3" s="6" customFormat="1" x14ac:dyDescent="0.25">
      <c r="A41" s="12"/>
      <c r="C41" s="7"/>
    </row>
    <row r="42" spans="1:3" s="6" customFormat="1" x14ac:dyDescent="0.25">
      <c r="A42" s="12"/>
      <c r="C42" s="7"/>
    </row>
    <row r="43" spans="1:3" s="6" customFormat="1" x14ac:dyDescent="0.25">
      <c r="A43" s="12"/>
      <c r="C43" s="7"/>
    </row>
    <row r="44" spans="1:3" s="6" customFormat="1" x14ac:dyDescent="0.25">
      <c r="A44" s="12"/>
      <c r="C44" s="7"/>
    </row>
    <row r="45" spans="1:3" s="6" customFormat="1" x14ac:dyDescent="0.25">
      <c r="A45" s="12"/>
      <c r="C45" s="7"/>
    </row>
    <row r="46" spans="1:3" s="6" customFormat="1" x14ac:dyDescent="0.25">
      <c r="A46" s="12"/>
      <c r="C46" s="7"/>
    </row>
    <row r="47" spans="1:3" s="6" customFormat="1" x14ac:dyDescent="0.25">
      <c r="A47" s="12"/>
      <c r="C47" s="7"/>
    </row>
    <row r="48" spans="1:3" s="6" customFormat="1" x14ac:dyDescent="0.25">
      <c r="A48" s="12"/>
      <c r="C48" s="7"/>
    </row>
    <row r="49" spans="1:1" x14ac:dyDescent="0.25">
      <c r="A49" s="15"/>
    </row>
    <row r="50" spans="1:1" x14ac:dyDescent="0.25">
      <c r="A50" s="15"/>
    </row>
    <row r="51" spans="1:1" x14ac:dyDescent="0.25">
      <c r="A51" s="15"/>
    </row>
    <row r="52" spans="1:1" x14ac:dyDescent="0.25">
      <c r="A52" s="15"/>
    </row>
    <row r="53" spans="1:1" x14ac:dyDescent="0.25">
      <c r="A53" s="15"/>
    </row>
    <row r="54" spans="1:1" x14ac:dyDescent="0.25">
      <c r="A54" s="15"/>
    </row>
    <row r="55" spans="1:1" x14ac:dyDescent="0.25">
      <c r="A55" s="15"/>
    </row>
    <row r="56" spans="1:1" x14ac:dyDescent="0.25">
      <c r="A56" s="15"/>
    </row>
    <row r="57" spans="1:1" x14ac:dyDescent="0.25">
      <c r="A57" s="15"/>
    </row>
    <row r="58" spans="1:1" x14ac:dyDescent="0.25">
      <c r="A58" s="15"/>
    </row>
    <row r="59" spans="1:1" x14ac:dyDescent="0.25">
      <c r="A59" s="15"/>
    </row>
    <row r="60" spans="1:1" x14ac:dyDescent="0.25">
      <c r="A60" s="15"/>
    </row>
    <row r="61" spans="1:1" x14ac:dyDescent="0.25">
      <c r="A61" s="15"/>
    </row>
    <row r="62" spans="1:1" x14ac:dyDescent="0.25">
      <c r="A62" s="15"/>
    </row>
    <row r="63" spans="1:1" x14ac:dyDescent="0.25">
      <c r="A63" s="15"/>
    </row>
  </sheetData>
  <mergeCells count="3">
    <mergeCell ref="A2:A6"/>
    <mergeCell ref="A7:A8"/>
    <mergeCell ref="A9:A13"/>
  </mergeCells>
  <dataValidations count="1">
    <dataValidation type="list" allowBlank="1" showInputMessage="1" showErrorMessage="1" sqref="E2:E13" xr:uid="{2A13B0EB-B456-4BBA-AF7E-28CD03B67D0E}">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12" id="{7F697D6D-C84B-40D9-BC86-B7E9519E4FCF}">
            <xm:f>IF(STATISTICS!$I$4=FALSE, TRUE, FALSE)</xm:f>
            <x14:dxf>
              <font>
                <strike/>
              </font>
            </x14:dxf>
          </x14:cfRule>
          <xm:sqref>B2:E2 B7:E8</xm:sqref>
        </x14:conditionalFormatting>
        <x14:conditionalFormatting xmlns:xm="http://schemas.microsoft.com/office/excel/2006/main">
          <x14:cfRule type="expression" priority="110" id="{13394F5B-634D-4068-9DB2-D329361AD618}">
            <xm:f>IF(STATISTICS!$J$4=FALSE, TRUE, FALSE)</xm:f>
            <x14:dxf>
              <font>
                <strike/>
              </font>
            </x14:dxf>
          </x14:cfRule>
          <xm:sqref>B3:E4 B9:E12</xm:sqref>
        </x14:conditionalFormatting>
        <x14:conditionalFormatting xmlns:xm="http://schemas.microsoft.com/office/excel/2006/main">
          <x14:cfRule type="expression" priority="2" id="{7F697D6D-C84B-40D9-BC86-B7E9519E4FCF}">
            <xm:f>IF(STATISTICS!$K$4=FALSE, TRUE, FALSE)</xm:f>
            <x14:dxf>
              <font>
                <strike/>
              </font>
            </x14:dxf>
          </x14:cfRule>
          <xm:sqref>B5:E6 B13:E13</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EF336-E38E-45F2-B6B2-C4E5C563BFB7}">
  <dimension ref="A1:F68"/>
  <sheetViews>
    <sheetView workbookViewId="0"/>
  </sheetViews>
  <sheetFormatPr defaultRowHeight="15" x14ac:dyDescent="0.2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x14ac:dyDescent="0.25">
      <c r="A1" s="5" t="s">
        <v>42</v>
      </c>
      <c r="B1" s="5" t="s">
        <v>43</v>
      </c>
      <c r="C1" s="5" t="s">
        <v>44</v>
      </c>
      <c r="D1" s="5" t="s">
        <v>45</v>
      </c>
      <c r="E1" s="5" t="s">
        <v>46</v>
      </c>
      <c r="F1" s="14"/>
    </row>
    <row r="2" spans="1:6" s="6" customFormat="1" ht="60" x14ac:dyDescent="0.25">
      <c r="A2" s="31" t="s">
        <v>629</v>
      </c>
      <c r="B2" s="6" t="s">
        <v>630</v>
      </c>
      <c r="C2" s="7" t="s">
        <v>631</v>
      </c>
      <c r="D2" s="6">
        <v>2</v>
      </c>
    </row>
    <row r="3" spans="1:6" s="6" customFormat="1" ht="60" x14ac:dyDescent="0.25">
      <c r="A3" s="31"/>
      <c r="B3" s="6" t="s">
        <v>632</v>
      </c>
      <c r="C3" s="7" t="s">
        <v>633</v>
      </c>
      <c r="D3" s="6">
        <v>3</v>
      </c>
    </row>
    <row r="4" spans="1:6" s="6" customFormat="1" ht="120" x14ac:dyDescent="0.25">
      <c r="A4" s="31"/>
      <c r="B4" s="6" t="s">
        <v>634</v>
      </c>
      <c r="C4" s="7" t="s">
        <v>635</v>
      </c>
      <c r="D4" s="6">
        <v>3</v>
      </c>
    </row>
    <row r="5" spans="1:6" s="6" customFormat="1" ht="45" x14ac:dyDescent="0.25">
      <c r="A5" s="31"/>
      <c r="B5" s="6" t="s">
        <v>636</v>
      </c>
      <c r="C5" s="7" t="s">
        <v>637</v>
      </c>
      <c r="D5" s="6">
        <v>3</v>
      </c>
    </row>
    <row r="6" spans="1:6" s="6" customFormat="1" ht="90" x14ac:dyDescent="0.25">
      <c r="A6" s="31" t="s">
        <v>638</v>
      </c>
      <c r="B6" s="6" t="s">
        <v>639</v>
      </c>
      <c r="C6" s="7" t="s">
        <v>640</v>
      </c>
      <c r="D6" s="6">
        <v>2</v>
      </c>
    </row>
    <row r="7" spans="1:6" s="6" customFormat="1" ht="45" x14ac:dyDescent="0.25">
      <c r="A7" s="31"/>
      <c r="B7" s="6" t="s">
        <v>641</v>
      </c>
      <c r="C7" s="7" t="s">
        <v>642</v>
      </c>
      <c r="D7" s="6">
        <v>2</v>
      </c>
    </row>
    <row r="8" spans="1:6" s="6" customFormat="1" ht="45" x14ac:dyDescent="0.25">
      <c r="A8" s="31"/>
      <c r="B8" s="6" t="s">
        <v>643</v>
      </c>
      <c r="C8" s="7" t="s">
        <v>644</v>
      </c>
      <c r="D8" s="6">
        <v>2</v>
      </c>
    </row>
    <row r="9" spans="1:6" s="6" customFormat="1" ht="60" x14ac:dyDescent="0.25">
      <c r="A9" s="31"/>
      <c r="B9" s="6" t="s">
        <v>645</v>
      </c>
      <c r="C9" s="7" t="s">
        <v>646</v>
      </c>
      <c r="D9" s="6">
        <v>2</v>
      </c>
    </row>
    <row r="10" spans="1:6" s="6" customFormat="1" ht="45" x14ac:dyDescent="0.25">
      <c r="A10" s="31"/>
      <c r="B10" s="6" t="s">
        <v>647</v>
      </c>
      <c r="C10" s="7" t="s">
        <v>648</v>
      </c>
      <c r="D10" s="6">
        <v>2</v>
      </c>
    </row>
    <row r="11" spans="1:6" s="6" customFormat="1" ht="60" x14ac:dyDescent="0.25">
      <c r="A11" s="31"/>
      <c r="B11" s="6" t="s">
        <v>649</v>
      </c>
      <c r="C11" s="7" t="s">
        <v>650</v>
      </c>
      <c r="D11" s="6">
        <v>3</v>
      </c>
    </row>
    <row r="12" spans="1:6" s="6" customFormat="1" ht="105" x14ac:dyDescent="0.25">
      <c r="A12" s="31" t="s">
        <v>651</v>
      </c>
      <c r="B12" s="6" t="s">
        <v>652</v>
      </c>
      <c r="C12" s="7" t="s">
        <v>653</v>
      </c>
      <c r="D12" s="6">
        <v>2</v>
      </c>
    </row>
    <row r="13" spans="1:6" s="6" customFormat="1" x14ac:dyDescent="0.25">
      <c r="A13" s="31"/>
      <c r="B13" s="6" t="s">
        <v>654</v>
      </c>
      <c r="C13" s="7" t="s">
        <v>655</v>
      </c>
      <c r="D13" s="6">
        <v>2</v>
      </c>
    </row>
    <row r="14" spans="1:6" s="6" customFormat="1" ht="60" x14ac:dyDescent="0.25">
      <c r="A14" s="31"/>
      <c r="B14" s="6" t="s">
        <v>656</v>
      </c>
      <c r="C14" s="7" t="s">
        <v>657</v>
      </c>
      <c r="D14" s="6">
        <v>3</v>
      </c>
    </row>
    <row r="15" spans="1:6" s="6" customFormat="1" ht="30" x14ac:dyDescent="0.25">
      <c r="A15" s="31"/>
      <c r="B15" s="6" t="s">
        <v>658</v>
      </c>
      <c r="C15" s="7" t="s">
        <v>659</v>
      </c>
      <c r="D15" s="6">
        <v>3</v>
      </c>
    </row>
    <row r="16" spans="1:6" s="6" customFormat="1" ht="45" x14ac:dyDescent="0.25">
      <c r="A16" s="31" t="s">
        <v>660</v>
      </c>
      <c r="B16" s="6" t="s">
        <v>661</v>
      </c>
      <c r="C16" s="7" t="s">
        <v>662</v>
      </c>
      <c r="D16" s="6">
        <v>1</v>
      </c>
    </row>
    <row r="17" spans="1:4" s="6" customFormat="1" ht="45" x14ac:dyDescent="0.25">
      <c r="A17" s="31"/>
      <c r="B17" s="6" t="s">
        <v>663</v>
      </c>
      <c r="C17" s="7" t="s">
        <v>664</v>
      </c>
      <c r="D17" s="6">
        <v>2</v>
      </c>
    </row>
    <row r="18" spans="1:4" s="6" customFormat="1" ht="30" x14ac:dyDescent="0.25">
      <c r="A18" s="31"/>
      <c r="B18" s="6" t="s">
        <v>665</v>
      </c>
      <c r="C18" s="7" t="s">
        <v>666</v>
      </c>
      <c r="D18" s="6">
        <v>2</v>
      </c>
    </row>
    <row r="19" spans="1:4" s="6" customFormat="1" ht="30" x14ac:dyDescent="0.25">
      <c r="A19" s="31"/>
      <c r="B19" s="6" t="s">
        <v>667</v>
      </c>
      <c r="C19" s="7" t="s">
        <v>668</v>
      </c>
      <c r="D19" s="6">
        <v>2</v>
      </c>
    </row>
    <row r="20" spans="1:4" s="6" customFormat="1" ht="30" x14ac:dyDescent="0.25">
      <c r="A20" s="31"/>
      <c r="B20" s="6" t="s">
        <v>669</v>
      </c>
      <c r="C20" s="7" t="s">
        <v>670</v>
      </c>
      <c r="D20" s="6">
        <v>2</v>
      </c>
    </row>
    <row r="21" spans="1:4" s="6" customFormat="1" ht="30" x14ac:dyDescent="0.25">
      <c r="A21" s="31"/>
      <c r="B21" s="6" t="s">
        <v>671</v>
      </c>
      <c r="C21" s="7" t="s">
        <v>672</v>
      </c>
      <c r="D21" s="6">
        <v>3</v>
      </c>
    </row>
    <row r="22" spans="1:4" s="6" customFormat="1" ht="45" x14ac:dyDescent="0.25">
      <c r="A22" s="31"/>
      <c r="B22" s="6" t="s">
        <v>673</v>
      </c>
      <c r="C22" s="7" t="s">
        <v>674</v>
      </c>
      <c r="D22" s="6">
        <v>3</v>
      </c>
    </row>
    <row r="23" spans="1:4" s="6" customFormat="1" x14ac:dyDescent="0.25">
      <c r="A23" s="12"/>
      <c r="C23" s="7"/>
    </row>
    <row r="24" spans="1:4" s="6" customFormat="1" x14ac:dyDescent="0.25">
      <c r="A24" s="12"/>
      <c r="C24" s="7"/>
    </row>
    <row r="25" spans="1:4" s="6" customFormat="1" x14ac:dyDescent="0.25">
      <c r="A25" s="12"/>
      <c r="C25" s="7"/>
    </row>
    <row r="26" spans="1:4" s="6" customFormat="1" x14ac:dyDescent="0.25">
      <c r="A26" s="12"/>
      <c r="C26" s="7"/>
    </row>
    <row r="27" spans="1:4" s="6" customFormat="1" x14ac:dyDescent="0.25">
      <c r="A27" s="12"/>
      <c r="C27" s="7"/>
    </row>
    <row r="28" spans="1:4" s="6" customFormat="1" x14ac:dyDescent="0.25">
      <c r="A28" s="12"/>
      <c r="C28" s="7"/>
    </row>
    <row r="29" spans="1:4" s="6" customFormat="1" x14ac:dyDescent="0.25">
      <c r="A29" s="12"/>
      <c r="C29" s="7"/>
    </row>
    <row r="30" spans="1:4" s="6" customFormat="1" x14ac:dyDescent="0.25">
      <c r="A30" s="12"/>
      <c r="C30" s="7"/>
    </row>
    <row r="31" spans="1:4" s="6" customFormat="1" x14ac:dyDescent="0.25">
      <c r="A31" s="12"/>
      <c r="C31" s="7"/>
    </row>
    <row r="32" spans="1:4" s="6" customFormat="1" x14ac:dyDescent="0.25">
      <c r="A32" s="12"/>
      <c r="C32" s="7"/>
    </row>
    <row r="33" spans="1:3" s="6" customFormat="1" x14ac:dyDescent="0.25">
      <c r="A33" s="12"/>
      <c r="C33" s="7"/>
    </row>
    <row r="34" spans="1:3" s="6" customFormat="1" x14ac:dyDescent="0.25">
      <c r="A34" s="12"/>
      <c r="C34" s="7"/>
    </row>
    <row r="35" spans="1:3" s="6" customFormat="1" x14ac:dyDescent="0.25">
      <c r="A35" s="12"/>
      <c r="C35" s="7"/>
    </row>
    <row r="36" spans="1:3" s="6" customFormat="1" x14ac:dyDescent="0.25">
      <c r="A36" s="12"/>
      <c r="C36" s="7"/>
    </row>
    <row r="37" spans="1:3" s="6" customFormat="1" x14ac:dyDescent="0.25">
      <c r="A37" s="12"/>
      <c r="C37" s="7"/>
    </row>
    <row r="38" spans="1:3" s="6" customFormat="1" x14ac:dyDescent="0.25">
      <c r="A38" s="12"/>
      <c r="C38" s="7"/>
    </row>
    <row r="39" spans="1:3" s="6" customFormat="1" x14ac:dyDescent="0.25">
      <c r="A39" s="12"/>
      <c r="C39" s="7"/>
    </row>
    <row r="40" spans="1:3" s="6" customFormat="1" x14ac:dyDescent="0.25">
      <c r="A40" s="12"/>
      <c r="C40" s="7"/>
    </row>
    <row r="41" spans="1:3" s="6" customFormat="1" x14ac:dyDescent="0.25">
      <c r="A41" s="12"/>
      <c r="C41" s="7"/>
    </row>
    <row r="42" spans="1:3" s="6" customFormat="1" x14ac:dyDescent="0.25">
      <c r="A42" s="12"/>
      <c r="C42" s="7"/>
    </row>
    <row r="43" spans="1:3" s="6" customFormat="1" x14ac:dyDescent="0.25">
      <c r="A43" s="12"/>
      <c r="C43" s="7"/>
    </row>
    <row r="44" spans="1:3" s="6" customFormat="1" x14ac:dyDescent="0.25">
      <c r="A44" s="12"/>
      <c r="C44" s="7"/>
    </row>
    <row r="45" spans="1:3" s="6" customFormat="1" x14ac:dyDescent="0.25">
      <c r="A45" s="12"/>
      <c r="C45" s="7"/>
    </row>
    <row r="46" spans="1:3" s="6" customFormat="1" x14ac:dyDescent="0.25">
      <c r="A46" s="12"/>
      <c r="C46" s="7"/>
    </row>
    <row r="47" spans="1:3" s="6" customFormat="1" x14ac:dyDescent="0.25">
      <c r="A47" s="12"/>
      <c r="C47" s="7"/>
    </row>
    <row r="48" spans="1:3" s="6" customFormat="1" x14ac:dyDescent="0.25">
      <c r="A48" s="12"/>
      <c r="C48" s="7"/>
    </row>
    <row r="49" spans="1:1" x14ac:dyDescent="0.25">
      <c r="A49" s="15"/>
    </row>
    <row r="50" spans="1:1" x14ac:dyDescent="0.25">
      <c r="A50" s="15"/>
    </row>
    <row r="51" spans="1:1" x14ac:dyDescent="0.25">
      <c r="A51" s="15"/>
    </row>
    <row r="52" spans="1:1" x14ac:dyDescent="0.25">
      <c r="A52" s="15"/>
    </row>
    <row r="53" spans="1:1" x14ac:dyDescent="0.25">
      <c r="A53" s="15"/>
    </row>
    <row r="54" spans="1:1" x14ac:dyDescent="0.25">
      <c r="A54" s="15"/>
    </row>
    <row r="55" spans="1:1" x14ac:dyDescent="0.25">
      <c r="A55" s="15"/>
    </row>
    <row r="56" spans="1:1" x14ac:dyDescent="0.25">
      <c r="A56" s="15"/>
    </row>
    <row r="57" spans="1:1" x14ac:dyDescent="0.25">
      <c r="A57" s="15"/>
    </row>
    <row r="58" spans="1:1" x14ac:dyDescent="0.25">
      <c r="A58" s="15"/>
    </row>
    <row r="59" spans="1:1" x14ac:dyDescent="0.25">
      <c r="A59" s="15"/>
    </row>
    <row r="60" spans="1:1" x14ac:dyDescent="0.25">
      <c r="A60" s="15"/>
    </row>
    <row r="61" spans="1:1" x14ac:dyDescent="0.25">
      <c r="A61" s="15"/>
    </row>
    <row r="62" spans="1:1" x14ac:dyDescent="0.25">
      <c r="A62" s="15"/>
    </row>
    <row r="63" spans="1:1" x14ac:dyDescent="0.25">
      <c r="A63" s="15"/>
    </row>
    <row r="64" spans="1:1" x14ac:dyDescent="0.25">
      <c r="A64" s="15"/>
    </row>
    <row r="65" spans="1:1" x14ac:dyDescent="0.25">
      <c r="A65" s="15"/>
    </row>
    <row r="66" spans="1:1" x14ac:dyDescent="0.25">
      <c r="A66" s="15"/>
    </row>
    <row r="67" spans="1:1" x14ac:dyDescent="0.25">
      <c r="A67" s="15"/>
    </row>
    <row r="68" spans="1:1" x14ac:dyDescent="0.25">
      <c r="A68" s="15"/>
    </row>
  </sheetData>
  <mergeCells count="4">
    <mergeCell ref="A16:A22"/>
    <mergeCell ref="A2:A5"/>
    <mergeCell ref="A6:A11"/>
    <mergeCell ref="A12:A15"/>
  </mergeCells>
  <dataValidations count="1">
    <dataValidation type="list" allowBlank="1" showInputMessage="1" showErrorMessage="1" sqref="E2:E22" xr:uid="{A775F781-0DBE-42A6-B67F-6AD34B441477}">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16" id="{100AF387-597C-4BA9-8DAF-0AF26CD51661}">
            <xm:f>IF(STATISTICS!$J$4=FALSE, TRUE, FALSE)</xm:f>
            <x14:dxf>
              <font>
                <strike/>
              </font>
            </x14:dxf>
          </x14:cfRule>
          <xm:sqref>B2:E2 B6:E10 B12:E13 B17:E20</xm:sqref>
        </x14:conditionalFormatting>
        <x14:conditionalFormatting xmlns:xm="http://schemas.microsoft.com/office/excel/2006/main">
          <x14:cfRule type="expression" priority="2" id="{1247C7EC-586B-421B-B96B-B4987F51C49C}">
            <xm:f>IF(STATISTICS!$K$4=FALSE, TRUE, FALSE)</xm:f>
            <x14:dxf>
              <font>
                <strike/>
              </font>
            </x14:dxf>
          </x14:cfRule>
          <xm:sqref>B3:E5 B11:E11 B14:E15 B21:E22</xm:sqref>
        </x14:conditionalFormatting>
        <x14:conditionalFormatting xmlns:xm="http://schemas.microsoft.com/office/excel/2006/main">
          <x14:cfRule type="expression" priority="120" id="{1247C7EC-586B-421B-B96B-B4987F51C49C}">
            <xm:f>IF(STATISTICS!$I$4=FALSE, TRUE, FALSE)</xm:f>
            <x14:dxf>
              <font>
                <strike/>
              </font>
            </x14:dxf>
          </x14:cfRule>
          <xm:sqref>B16:E16</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5D8C2E-13BD-42E7-885A-80DB5B96F96F}">
  <dimension ref="A1:F68"/>
  <sheetViews>
    <sheetView workbookViewId="0"/>
  </sheetViews>
  <sheetFormatPr defaultRowHeight="15" x14ac:dyDescent="0.2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x14ac:dyDescent="0.25">
      <c r="A1" s="5" t="s">
        <v>42</v>
      </c>
      <c r="B1" s="5" t="s">
        <v>43</v>
      </c>
      <c r="C1" s="5" t="s">
        <v>44</v>
      </c>
      <c r="D1" s="5" t="s">
        <v>45</v>
      </c>
      <c r="E1" s="5" t="s">
        <v>46</v>
      </c>
      <c r="F1" s="14"/>
    </row>
    <row r="2" spans="1:6" s="6" customFormat="1" ht="90" x14ac:dyDescent="0.25">
      <c r="A2" s="31" t="s">
        <v>675</v>
      </c>
      <c r="B2" s="6" t="s">
        <v>676</v>
      </c>
      <c r="C2" s="7" t="s">
        <v>677</v>
      </c>
      <c r="D2" s="6">
        <v>2</v>
      </c>
    </row>
    <row r="3" spans="1:6" s="6" customFormat="1" ht="90" x14ac:dyDescent="0.25">
      <c r="A3" s="31"/>
      <c r="B3" s="6" t="s">
        <v>678</v>
      </c>
      <c r="C3" s="7" t="s">
        <v>679</v>
      </c>
      <c r="D3" s="6">
        <v>2</v>
      </c>
    </row>
    <row r="4" spans="1:6" s="6" customFormat="1" ht="45" x14ac:dyDescent="0.25">
      <c r="A4" s="31" t="s">
        <v>680</v>
      </c>
      <c r="B4" s="6" t="s">
        <v>681</v>
      </c>
      <c r="C4" s="7" t="s">
        <v>682</v>
      </c>
      <c r="D4" s="6">
        <v>1</v>
      </c>
    </row>
    <row r="5" spans="1:6" s="6" customFormat="1" ht="45" x14ac:dyDescent="0.25">
      <c r="A5" s="31"/>
      <c r="B5" s="6" t="s">
        <v>683</v>
      </c>
      <c r="C5" s="7" t="s">
        <v>684</v>
      </c>
      <c r="D5" s="6">
        <v>2</v>
      </c>
    </row>
    <row r="6" spans="1:6" s="6" customFormat="1" ht="45" x14ac:dyDescent="0.25">
      <c r="A6" s="31"/>
      <c r="B6" s="6" t="s">
        <v>685</v>
      </c>
      <c r="C6" s="7" t="s">
        <v>686</v>
      </c>
      <c r="D6" s="6">
        <v>2</v>
      </c>
    </row>
    <row r="7" spans="1:6" s="6" customFormat="1" ht="75" x14ac:dyDescent="0.25">
      <c r="A7" s="31"/>
      <c r="B7" s="6" t="s">
        <v>687</v>
      </c>
      <c r="C7" s="7" t="s">
        <v>688</v>
      </c>
      <c r="D7" s="6">
        <v>2</v>
      </c>
    </row>
    <row r="8" spans="1:6" s="6" customFormat="1" ht="75" x14ac:dyDescent="0.25">
      <c r="A8" s="31"/>
      <c r="B8" s="6" t="s">
        <v>689</v>
      </c>
      <c r="C8" s="7" t="s">
        <v>690</v>
      </c>
      <c r="D8" s="6">
        <v>3</v>
      </c>
    </row>
    <row r="9" spans="1:6" s="6" customFormat="1" ht="75" x14ac:dyDescent="0.25">
      <c r="A9" s="31"/>
      <c r="B9" s="6" t="s">
        <v>691</v>
      </c>
      <c r="C9" s="7" t="s">
        <v>692</v>
      </c>
      <c r="D9" s="6">
        <v>3</v>
      </c>
    </row>
    <row r="10" spans="1:6" s="6" customFormat="1" ht="45" x14ac:dyDescent="0.25">
      <c r="A10" s="31"/>
      <c r="B10" s="6" t="s">
        <v>693</v>
      </c>
      <c r="C10" s="7" t="s">
        <v>694</v>
      </c>
      <c r="D10" s="6">
        <v>3</v>
      </c>
    </row>
    <row r="11" spans="1:6" s="6" customFormat="1" ht="30" x14ac:dyDescent="0.25">
      <c r="A11" s="31"/>
      <c r="B11" s="6" t="s">
        <v>695</v>
      </c>
      <c r="C11" s="7" t="s">
        <v>696</v>
      </c>
      <c r="D11" s="6">
        <v>3</v>
      </c>
    </row>
    <row r="12" spans="1:6" s="6" customFormat="1" ht="75" x14ac:dyDescent="0.25">
      <c r="A12" s="31" t="s">
        <v>697</v>
      </c>
      <c r="B12" s="6" t="s">
        <v>698</v>
      </c>
      <c r="C12" s="7" t="s">
        <v>699</v>
      </c>
      <c r="D12" s="6">
        <v>1</v>
      </c>
    </row>
    <row r="13" spans="1:6" s="6" customFormat="1" ht="45" x14ac:dyDescent="0.25">
      <c r="A13" s="31"/>
      <c r="B13" s="6" t="s">
        <v>700</v>
      </c>
      <c r="C13" s="7" t="s">
        <v>701</v>
      </c>
      <c r="D13" s="6">
        <v>2</v>
      </c>
    </row>
    <row r="14" spans="1:6" s="6" customFormat="1" ht="45" x14ac:dyDescent="0.25">
      <c r="A14" s="31"/>
      <c r="B14" s="6" t="s">
        <v>702</v>
      </c>
      <c r="C14" s="7" t="s">
        <v>703</v>
      </c>
      <c r="D14" s="6">
        <v>2</v>
      </c>
    </row>
    <row r="15" spans="1:6" s="6" customFormat="1" x14ac:dyDescent="0.25">
      <c r="A15" s="12"/>
      <c r="C15" s="7"/>
    </row>
    <row r="16" spans="1:6" s="6" customFormat="1" x14ac:dyDescent="0.25">
      <c r="A16" s="12"/>
      <c r="C16" s="7"/>
    </row>
    <row r="17" spans="1:3" s="6" customFormat="1" x14ac:dyDescent="0.25">
      <c r="A17" s="12"/>
      <c r="C17" s="7"/>
    </row>
    <row r="18" spans="1:3" s="6" customFormat="1" x14ac:dyDescent="0.25">
      <c r="A18" s="12"/>
      <c r="C18" s="7"/>
    </row>
    <row r="19" spans="1:3" s="6" customFormat="1" x14ac:dyDescent="0.25">
      <c r="A19" s="12"/>
      <c r="C19" s="7"/>
    </row>
    <row r="20" spans="1:3" s="6" customFormat="1" x14ac:dyDescent="0.25">
      <c r="A20" s="12"/>
      <c r="C20" s="7"/>
    </row>
    <row r="21" spans="1:3" s="6" customFormat="1" x14ac:dyDescent="0.25">
      <c r="A21" s="12"/>
      <c r="C21" s="7"/>
    </row>
    <row r="22" spans="1:3" s="6" customFormat="1" x14ac:dyDescent="0.25">
      <c r="A22" s="12"/>
      <c r="C22" s="7"/>
    </row>
    <row r="23" spans="1:3" s="6" customFormat="1" x14ac:dyDescent="0.25">
      <c r="A23" s="12"/>
      <c r="C23" s="7"/>
    </row>
    <row r="24" spans="1:3" s="6" customFormat="1" x14ac:dyDescent="0.25">
      <c r="A24" s="12"/>
      <c r="C24" s="7"/>
    </row>
    <row r="25" spans="1:3" s="6" customFormat="1" x14ac:dyDescent="0.25">
      <c r="A25" s="12"/>
      <c r="C25" s="7"/>
    </row>
    <row r="26" spans="1:3" s="6" customFormat="1" x14ac:dyDescent="0.25">
      <c r="A26" s="12"/>
      <c r="C26" s="7"/>
    </row>
    <row r="27" spans="1:3" s="6" customFormat="1" x14ac:dyDescent="0.25">
      <c r="A27" s="12"/>
      <c r="C27" s="7"/>
    </row>
    <row r="28" spans="1:3" s="6" customFormat="1" x14ac:dyDescent="0.25">
      <c r="A28" s="12"/>
      <c r="C28" s="7"/>
    </row>
    <row r="29" spans="1:3" s="6" customFormat="1" x14ac:dyDescent="0.25">
      <c r="A29" s="12"/>
      <c r="C29" s="7"/>
    </row>
    <row r="30" spans="1:3" s="6" customFormat="1" x14ac:dyDescent="0.25">
      <c r="A30" s="12"/>
      <c r="C30" s="7"/>
    </row>
    <row r="31" spans="1:3" s="6" customFormat="1" x14ac:dyDescent="0.25">
      <c r="A31" s="12"/>
      <c r="C31" s="7"/>
    </row>
    <row r="32" spans="1:3" s="6" customFormat="1" x14ac:dyDescent="0.25">
      <c r="A32" s="12"/>
      <c r="C32" s="7"/>
    </row>
    <row r="33" spans="1:3" s="6" customFormat="1" x14ac:dyDescent="0.25">
      <c r="A33" s="12"/>
      <c r="C33" s="7"/>
    </row>
    <row r="34" spans="1:3" s="6" customFormat="1" x14ac:dyDescent="0.25">
      <c r="A34" s="12"/>
      <c r="C34" s="7"/>
    </row>
    <row r="35" spans="1:3" s="6" customFormat="1" x14ac:dyDescent="0.25">
      <c r="A35" s="12"/>
      <c r="C35" s="7"/>
    </row>
    <row r="36" spans="1:3" s="6" customFormat="1" x14ac:dyDescent="0.25">
      <c r="A36" s="12"/>
      <c r="C36" s="7"/>
    </row>
    <row r="37" spans="1:3" s="6" customFormat="1" x14ac:dyDescent="0.25">
      <c r="A37" s="12"/>
      <c r="C37" s="7"/>
    </row>
    <row r="38" spans="1:3" s="6" customFormat="1" x14ac:dyDescent="0.25">
      <c r="A38" s="12"/>
      <c r="C38" s="7"/>
    </row>
    <row r="39" spans="1:3" s="6" customFormat="1" x14ac:dyDescent="0.25">
      <c r="A39" s="12"/>
      <c r="C39" s="7"/>
    </row>
    <row r="40" spans="1:3" s="6" customFormat="1" x14ac:dyDescent="0.25">
      <c r="A40" s="12"/>
      <c r="C40" s="7"/>
    </row>
    <row r="41" spans="1:3" s="6" customFormat="1" x14ac:dyDescent="0.25">
      <c r="A41" s="12"/>
      <c r="C41" s="7"/>
    </row>
    <row r="42" spans="1:3" s="6" customFormat="1" x14ac:dyDescent="0.25">
      <c r="A42" s="12"/>
      <c r="C42" s="7"/>
    </row>
    <row r="43" spans="1:3" s="6" customFormat="1" x14ac:dyDescent="0.25">
      <c r="A43" s="12"/>
      <c r="C43" s="7"/>
    </row>
    <row r="44" spans="1:3" s="6" customFormat="1" x14ac:dyDescent="0.25">
      <c r="A44" s="12"/>
      <c r="C44" s="7"/>
    </row>
    <row r="45" spans="1:3" s="6" customFormat="1" x14ac:dyDescent="0.25">
      <c r="A45" s="12"/>
      <c r="C45" s="7"/>
    </row>
    <row r="46" spans="1:3" s="6" customFormat="1" x14ac:dyDescent="0.25">
      <c r="A46" s="12"/>
      <c r="C46" s="7"/>
    </row>
    <row r="47" spans="1:3" s="6" customFormat="1" x14ac:dyDescent="0.25">
      <c r="A47" s="12"/>
      <c r="C47" s="7"/>
    </row>
    <row r="48" spans="1:3" s="6" customFormat="1" x14ac:dyDescent="0.25">
      <c r="A48" s="12"/>
      <c r="C48" s="7"/>
    </row>
    <row r="49" spans="1:1" x14ac:dyDescent="0.25">
      <c r="A49" s="15"/>
    </row>
    <row r="50" spans="1:1" x14ac:dyDescent="0.25">
      <c r="A50" s="15"/>
    </row>
    <row r="51" spans="1:1" x14ac:dyDescent="0.25">
      <c r="A51" s="15"/>
    </row>
    <row r="52" spans="1:1" x14ac:dyDescent="0.25">
      <c r="A52" s="15"/>
    </row>
    <row r="53" spans="1:1" x14ac:dyDescent="0.25">
      <c r="A53" s="15"/>
    </row>
    <row r="54" spans="1:1" x14ac:dyDescent="0.25">
      <c r="A54" s="15"/>
    </row>
    <row r="55" spans="1:1" x14ac:dyDescent="0.25">
      <c r="A55" s="15"/>
    </row>
    <row r="56" spans="1:1" x14ac:dyDescent="0.25">
      <c r="A56" s="15"/>
    </row>
    <row r="57" spans="1:1" x14ac:dyDescent="0.25">
      <c r="A57" s="15"/>
    </row>
    <row r="58" spans="1:1" x14ac:dyDescent="0.25">
      <c r="A58" s="15"/>
    </row>
    <row r="59" spans="1:1" x14ac:dyDescent="0.25">
      <c r="A59" s="15"/>
    </row>
    <row r="60" spans="1:1" x14ac:dyDescent="0.25">
      <c r="A60" s="15"/>
    </row>
    <row r="61" spans="1:1" x14ac:dyDescent="0.25">
      <c r="A61" s="15"/>
    </row>
    <row r="62" spans="1:1" x14ac:dyDescent="0.25">
      <c r="A62" s="15"/>
    </row>
    <row r="63" spans="1:1" x14ac:dyDescent="0.25">
      <c r="A63" s="15"/>
    </row>
    <row r="64" spans="1:1" x14ac:dyDescent="0.25">
      <c r="A64" s="15"/>
    </row>
    <row r="65" spans="1:1" x14ac:dyDescent="0.25">
      <c r="A65" s="15"/>
    </row>
    <row r="66" spans="1:1" x14ac:dyDescent="0.25">
      <c r="A66" s="15"/>
    </row>
    <row r="67" spans="1:1" x14ac:dyDescent="0.25">
      <c r="A67" s="15"/>
    </row>
    <row r="68" spans="1:1" x14ac:dyDescent="0.25">
      <c r="A68" s="15"/>
    </row>
  </sheetData>
  <mergeCells count="3">
    <mergeCell ref="A2:A3"/>
    <mergeCell ref="A4:A11"/>
    <mergeCell ref="A12:A14"/>
  </mergeCells>
  <dataValidations count="1">
    <dataValidation type="list" allowBlank="1" showInputMessage="1" showErrorMessage="1" sqref="E2:E14" xr:uid="{B53B393B-B382-41A0-81D3-0C09583DB548}">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25" id="{D4774191-BE18-4FDA-827A-D2E235C8FCE1}">
            <xm:f>IF(STATISTICS!$J$4=FALSE, TRUE, FALSE)</xm:f>
            <x14:dxf>
              <font>
                <strike/>
              </font>
            </x14:dxf>
          </x14:cfRule>
          <xm:sqref>B2:E3 B5:E7 B13:E14</xm:sqref>
        </x14:conditionalFormatting>
        <x14:conditionalFormatting xmlns:xm="http://schemas.microsoft.com/office/excel/2006/main">
          <x14:cfRule type="expression" priority="128" id="{D0509808-B8E2-4420-B626-C30EFD9C149B}">
            <xm:f>IF(STATISTICS!$I$4=FALSE, TRUE, FALSE)</xm:f>
            <x14:dxf>
              <font>
                <strike/>
              </font>
            </x14:dxf>
          </x14:cfRule>
          <xm:sqref>B4:E4 B12:E12</xm:sqref>
        </x14:conditionalFormatting>
        <x14:conditionalFormatting xmlns:xm="http://schemas.microsoft.com/office/excel/2006/main">
          <x14:cfRule type="expression" priority="2" id="{D0509808-B8E2-4420-B626-C30EFD9C149B}">
            <xm:f>IF(STATISTICS!$K$4=FALSE, TRUE, FALSE)</xm:f>
            <x14:dxf>
              <font>
                <strike/>
              </font>
            </x14:dxf>
          </x14:cfRule>
          <xm:sqref>B8:E11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591100-1C4A-41CB-91B1-C77F9F01BE04}">
  <dimension ref="A1:F68"/>
  <sheetViews>
    <sheetView workbookViewId="0"/>
  </sheetViews>
  <sheetFormatPr defaultRowHeight="15" x14ac:dyDescent="0.2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x14ac:dyDescent="0.25">
      <c r="A1" s="5" t="s">
        <v>42</v>
      </c>
      <c r="B1" s="5" t="s">
        <v>43</v>
      </c>
      <c r="C1" s="5" t="s">
        <v>44</v>
      </c>
      <c r="D1" s="5" t="s">
        <v>45</v>
      </c>
      <c r="E1" s="5" t="s">
        <v>46</v>
      </c>
      <c r="F1" s="14"/>
    </row>
    <row r="2" spans="1:6" s="6" customFormat="1" ht="45" x14ac:dyDescent="0.25">
      <c r="A2" s="31" t="s">
        <v>704</v>
      </c>
      <c r="B2" s="6" t="s">
        <v>705</v>
      </c>
      <c r="C2" s="7" t="s">
        <v>706</v>
      </c>
      <c r="D2" s="6">
        <v>1</v>
      </c>
    </row>
    <row r="3" spans="1:6" s="6" customFormat="1" ht="60" x14ac:dyDescent="0.25">
      <c r="A3" s="31"/>
      <c r="B3" s="6" t="s">
        <v>707</v>
      </c>
      <c r="C3" s="7" t="s">
        <v>708</v>
      </c>
      <c r="D3" s="6">
        <v>2</v>
      </c>
    </row>
    <row r="4" spans="1:6" s="6" customFormat="1" ht="90" x14ac:dyDescent="0.25">
      <c r="A4" s="31"/>
      <c r="B4" s="6" t="s">
        <v>709</v>
      </c>
      <c r="C4" s="7" t="s">
        <v>710</v>
      </c>
      <c r="D4" s="6">
        <v>2</v>
      </c>
    </row>
    <row r="5" spans="1:6" s="6" customFormat="1" ht="30" x14ac:dyDescent="0.25">
      <c r="A5" s="31"/>
      <c r="B5" s="6" t="s">
        <v>711</v>
      </c>
      <c r="C5" s="7" t="s">
        <v>712</v>
      </c>
      <c r="D5" s="6">
        <v>3</v>
      </c>
    </row>
    <row r="6" spans="1:6" s="6" customFormat="1" ht="30" x14ac:dyDescent="0.25">
      <c r="A6" s="31"/>
      <c r="B6" s="6" t="s">
        <v>713</v>
      </c>
      <c r="C6" s="7" t="s">
        <v>714</v>
      </c>
      <c r="D6" s="6">
        <v>3</v>
      </c>
    </row>
    <row r="7" spans="1:6" s="6" customFormat="1" ht="30" x14ac:dyDescent="0.25">
      <c r="A7" s="31" t="s">
        <v>715</v>
      </c>
      <c r="B7" s="6" t="s">
        <v>716</v>
      </c>
      <c r="C7" s="7" t="s">
        <v>717</v>
      </c>
      <c r="D7" s="6">
        <v>1</v>
      </c>
    </row>
    <row r="8" spans="1:6" s="6" customFormat="1" ht="60" x14ac:dyDescent="0.25">
      <c r="A8" s="31"/>
      <c r="B8" s="6" t="s">
        <v>718</v>
      </c>
      <c r="C8" s="7" t="s">
        <v>719</v>
      </c>
      <c r="D8" s="6">
        <v>2</v>
      </c>
    </row>
    <row r="9" spans="1:6" s="6" customFormat="1" ht="60" x14ac:dyDescent="0.25">
      <c r="A9" s="31"/>
      <c r="B9" s="6" t="s">
        <v>720</v>
      </c>
      <c r="C9" s="7" t="s">
        <v>721</v>
      </c>
      <c r="D9" s="6">
        <v>2</v>
      </c>
    </row>
    <row r="10" spans="1:6" s="6" customFormat="1" ht="45" x14ac:dyDescent="0.25">
      <c r="A10" s="31"/>
      <c r="B10" s="6" t="s">
        <v>722</v>
      </c>
      <c r="C10" s="7" t="s">
        <v>723</v>
      </c>
      <c r="D10" s="6">
        <v>3</v>
      </c>
    </row>
    <row r="11" spans="1:6" s="6" customFormat="1" ht="105" x14ac:dyDescent="0.25">
      <c r="A11" s="31"/>
      <c r="B11" s="6" t="s">
        <v>724</v>
      </c>
      <c r="C11" s="7" t="s">
        <v>725</v>
      </c>
      <c r="D11" s="6">
        <v>3</v>
      </c>
    </row>
    <row r="12" spans="1:6" s="6" customFormat="1" ht="45" x14ac:dyDescent="0.25">
      <c r="A12" s="31" t="s">
        <v>726</v>
      </c>
      <c r="B12" s="6" t="s">
        <v>727</v>
      </c>
      <c r="C12" s="7" t="s">
        <v>728</v>
      </c>
      <c r="D12" s="6">
        <v>1</v>
      </c>
    </row>
    <row r="13" spans="1:6" s="6" customFormat="1" ht="30" x14ac:dyDescent="0.25">
      <c r="A13" s="31"/>
      <c r="B13" s="6" t="s">
        <v>729</v>
      </c>
      <c r="C13" s="7" t="s">
        <v>730</v>
      </c>
      <c r="D13" s="6">
        <v>2</v>
      </c>
    </row>
    <row r="14" spans="1:6" s="6" customFormat="1" ht="60" x14ac:dyDescent="0.25">
      <c r="A14" s="31"/>
      <c r="B14" s="6" t="s">
        <v>731</v>
      </c>
      <c r="C14" s="7" t="s">
        <v>732</v>
      </c>
      <c r="D14" s="6">
        <v>2</v>
      </c>
    </row>
    <row r="15" spans="1:6" s="6" customFormat="1" ht="90" x14ac:dyDescent="0.25">
      <c r="A15" s="31" t="s">
        <v>726</v>
      </c>
      <c r="B15" s="6" t="s">
        <v>733</v>
      </c>
      <c r="C15" s="7" t="s">
        <v>734</v>
      </c>
      <c r="D15" s="6">
        <v>2</v>
      </c>
    </row>
    <row r="16" spans="1:6" s="6" customFormat="1" ht="60" x14ac:dyDescent="0.25">
      <c r="A16" s="31"/>
      <c r="B16" s="6" t="s">
        <v>735</v>
      </c>
      <c r="C16" s="7" t="s">
        <v>736</v>
      </c>
      <c r="D16" s="6">
        <v>2</v>
      </c>
    </row>
    <row r="17" spans="1:4" s="6" customFormat="1" ht="30" x14ac:dyDescent="0.25">
      <c r="A17" s="31"/>
      <c r="B17" s="6" t="s">
        <v>737</v>
      </c>
      <c r="C17" s="7" t="s">
        <v>738</v>
      </c>
      <c r="D17" s="6">
        <v>2</v>
      </c>
    </row>
    <row r="18" spans="1:4" s="6" customFormat="1" ht="60" x14ac:dyDescent="0.25">
      <c r="A18" s="31"/>
      <c r="B18" s="6" t="s">
        <v>739</v>
      </c>
      <c r="C18" s="7" t="s">
        <v>740</v>
      </c>
      <c r="D18" s="6">
        <v>2</v>
      </c>
    </row>
    <row r="19" spans="1:4" s="6" customFormat="1" ht="60" x14ac:dyDescent="0.25">
      <c r="A19" s="31" t="s">
        <v>741</v>
      </c>
      <c r="B19" s="6" t="s">
        <v>742</v>
      </c>
      <c r="C19" s="7" t="s">
        <v>743</v>
      </c>
      <c r="D19" s="6">
        <v>3</v>
      </c>
    </row>
    <row r="20" spans="1:4" s="6" customFormat="1" ht="75" x14ac:dyDescent="0.25">
      <c r="A20" s="31"/>
      <c r="B20" s="6" t="s">
        <v>744</v>
      </c>
      <c r="C20" s="7" t="s">
        <v>745</v>
      </c>
      <c r="D20" s="6">
        <v>3</v>
      </c>
    </row>
    <row r="21" spans="1:4" s="6" customFormat="1" ht="60" x14ac:dyDescent="0.25">
      <c r="A21" s="31"/>
      <c r="B21" s="6" t="s">
        <v>746</v>
      </c>
      <c r="C21" s="7" t="s">
        <v>747</v>
      </c>
      <c r="D21" s="6">
        <v>3</v>
      </c>
    </row>
    <row r="22" spans="1:4" s="6" customFormat="1" ht="45" x14ac:dyDescent="0.25">
      <c r="A22" s="31"/>
      <c r="B22" s="6" t="s">
        <v>748</v>
      </c>
      <c r="C22" s="7" t="s">
        <v>749</v>
      </c>
      <c r="D22" s="6">
        <v>3</v>
      </c>
    </row>
    <row r="23" spans="1:4" s="6" customFormat="1" x14ac:dyDescent="0.25">
      <c r="A23" s="12"/>
      <c r="C23" s="7"/>
    </row>
    <row r="24" spans="1:4" s="6" customFormat="1" x14ac:dyDescent="0.25">
      <c r="A24" s="12"/>
      <c r="C24" s="7"/>
    </row>
    <row r="25" spans="1:4" s="6" customFormat="1" x14ac:dyDescent="0.25">
      <c r="A25" s="12"/>
      <c r="C25" s="7"/>
    </row>
    <row r="26" spans="1:4" s="6" customFormat="1" x14ac:dyDescent="0.25">
      <c r="A26" s="12"/>
      <c r="C26" s="7"/>
    </row>
    <row r="27" spans="1:4" s="6" customFormat="1" x14ac:dyDescent="0.25">
      <c r="A27" s="12"/>
      <c r="C27" s="7"/>
    </row>
    <row r="28" spans="1:4" s="6" customFormat="1" x14ac:dyDescent="0.25">
      <c r="A28" s="12"/>
      <c r="C28" s="7"/>
    </row>
    <row r="29" spans="1:4" s="6" customFormat="1" x14ac:dyDescent="0.25">
      <c r="A29" s="12"/>
      <c r="C29" s="7"/>
    </row>
    <row r="30" spans="1:4" s="6" customFormat="1" x14ac:dyDescent="0.25">
      <c r="A30" s="12"/>
      <c r="C30" s="7"/>
    </row>
    <row r="31" spans="1:4" s="6" customFormat="1" x14ac:dyDescent="0.25">
      <c r="A31" s="12"/>
      <c r="C31" s="7"/>
    </row>
    <row r="32" spans="1:4" s="6" customFormat="1" x14ac:dyDescent="0.25">
      <c r="A32" s="12"/>
      <c r="C32" s="7"/>
    </row>
    <row r="33" spans="1:3" s="6" customFormat="1" x14ac:dyDescent="0.25">
      <c r="A33" s="12"/>
      <c r="C33" s="7"/>
    </row>
    <row r="34" spans="1:3" s="6" customFormat="1" x14ac:dyDescent="0.25">
      <c r="A34" s="12"/>
      <c r="C34" s="7"/>
    </row>
    <row r="35" spans="1:3" s="6" customFormat="1" x14ac:dyDescent="0.25">
      <c r="A35" s="12"/>
      <c r="C35" s="7"/>
    </row>
    <row r="36" spans="1:3" s="6" customFormat="1" x14ac:dyDescent="0.25">
      <c r="A36" s="12"/>
      <c r="C36" s="7"/>
    </row>
    <row r="37" spans="1:3" s="6" customFormat="1" x14ac:dyDescent="0.25">
      <c r="A37" s="12"/>
      <c r="C37" s="7"/>
    </row>
    <row r="38" spans="1:3" s="6" customFormat="1" x14ac:dyDescent="0.25">
      <c r="A38" s="12"/>
      <c r="C38" s="7"/>
    </row>
    <row r="39" spans="1:3" s="6" customFormat="1" x14ac:dyDescent="0.25">
      <c r="A39" s="12"/>
      <c r="C39" s="7"/>
    </row>
    <row r="40" spans="1:3" s="6" customFormat="1" x14ac:dyDescent="0.25">
      <c r="A40" s="12"/>
      <c r="C40" s="7"/>
    </row>
    <row r="41" spans="1:3" s="6" customFormat="1" x14ac:dyDescent="0.25">
      <c r="A41" s="12"/>
      <c r="C41" s="7"/>
    </row>
    <row r="42" spans="1:3" s="6" customFormat="1" x14ac:dyDescent="0.25">
      <c r="A42" s="12"/>
      <c r="C42" s="7"/>
    </row>
    <row r="43" spans="1:3" s="6" customFormat="1" x14ac:dyDescent="0.25">
      <c r="A43" s="12"/>
      <c r="C43" s="7"/>
    </row>
    <row r="44" spans="1:3" s="6" customFormat="1" x14ac:dyDescent="0.25">
      <c r="A44" s="12"/>
      <c r="C44" s="7"/>
    </row>
    <row r="45" spans="1:3" s="6" customFormat="1" x14ac:dyDescent="0.25">
      <c r="A45" s="12"/>
      <c r="C45" s="7"/>
    </row>
    <row r="46" spans="1:3" s="6" customFormat="1" x14ac:dyDescent="0.25">
      <c r="A46" s="12"/>
      <c r="C46" s="7"/>
    </row>
    <row r="47" spans="1:3" s="6" customFormat="1" x14ac:dyDescent="0.25">
      <c r="A47" s="12"/>
      <c r="C47" s="7"/>
    </row>
    <row r="48" spans="1:3" s="6" customFormat="1" x14ac:dyDescent="0.25">
      <c r="A48" s="12"/>
      <c r="C48" s="7"/>
    </row>
    <row r="49" spans="1:1" x14ac:dyDescent="0.25">
      <c r="A49" s="15"/>
    </row>
    <row r="50" spans="1:1" x14ac:dyDescent="0.25">
      <c r="A50" s="15"/>
    </row>
    <row r="51" spans="1:1" x14ac:dyDescent="0.25">
      <c r="A51" s="15"/>
    </row>
    <row r="52" spans="1:1" x14ac:dyDescent="0.25">
      <c r="A52" s="15"/>
    </row>
    <row r="53" spans="1:1" x14ac:dyDescent="0.25">
      <c r="A53" s="15"/>
    </row>
    <row r="54" spans="1:1" x14ac:dyDescent="0.25">
      <c r="A54" s="15"/>
    </row>
    <row r="55" spans="1:1" x14ac:dyDescent="0.25">
      <c r="A55" s="15"/>
    </row>
    <row r="56" spans="1:1" x14ac:dyDescent="0.25">
      <c r="A56" s="15"/>
    </row>
    <row r="57" spans="1:1" x14ac:dyDescent="0.25">
      <c r="A57" s="15"/>
    </row>
    <row r="58" spans="1:1" x14ac:dyDescent="0.25">
      <c r="A58" s="15"/>
    </row>
    <row r="59" spans="1:1" x14ac:dyDescent="0.25">
      <c r="A59" s="15"/>
    </row>
    <row r="60" spans="1:1" x14ac:dyDescent="0.25">
      <c r="A60" s="15"/>
    </row>
    <row r="61" spans="1:1" x14ac:dyDescent="0.25">
      <c r="A61" s="15"/>
    </row>
    <row r="62" spans="1:1" x14ac:dyDescent="0.25">
      <c r="A62" s="15"/>
    </row>
    <row r="63" spans="1:1" x14ac:dyDescent="0.25">
      <c r="A63" s="15"/>
    </row>
    <row r="64" spans="1:1" x14ac:dyDescent="0.25">
      <c r="A64" s="15"/>
    </row>
    <row r="65" spans="1:1" x14ac:dyDescent="0.25">
      <c r="A65" s="15"/>
    </row>
    <row r="66" spans="1:1" x14ac:dyDescent="0.25">
      <c r="A66" s="15"/>
    </row>
    <row r="67" spans="1:1" x14ac:dyDescent="0.25">
      <c r="A67" s="15"/>
    </row>
    <row r="68" spans="1:1" x14ac:dyDescent="0.25">
      <c r="A68" s="15"/>
    </row>
  </sheetData>
  <mergeCells count="5">
    <mergeCell ref="A19:A22"/>
    <mergeCell ref="A12:A14"/>
    <mergeCell ref="A2:A6"/>
    <mergeCell ref="A7:A11"/>
    <mergeCell ref="A15:A18"/>
  </mergeCells>
  <dataValidations count="1">
    <dataValidation type="list" allowBlank="1" showInputMessage="1" showErrorMessage="1" sqref="E2:E22" xr:uid="{4D8B4BE6-022A-4063-8E98-0745593A9A7F}">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34" id="{C23E4782-7E16-4B35-BF57-2817C433E61E}">
            <xm:f>IF(STATISTICS!$I$4=FALSE, TRUE, FALSE)</xm:f>
            <x14:dxf>
              <font>
                <strike/>
              </font>
            </x14:dxf>
          </x14:cfRule>
          <xm:sqref>B2:E2 B7:E7 B12:E12</xm:sqref>
        </x14:conditionalFormatting>
        <x14:conditionalFormatting xmlns:xm="http://schemas.microsoft.com/office/excel/2006/main">
          <x14:cfRule type="expression" priority="131" id="{66F8BA48-8BCC-46A8-8257-A648B7DE8100}">
            <xm:f>IF(STATISTICS!$J$4=FALSE, TRUE, FALSE)</xm:f>
            <x14:dxf>
              <font>
                <strike/>
              </font>
            </x14:dxf>
          </x14:cfRule>
          <xm:sqref>B3:E4 C8:E9 C13:E18</xm:sqref>
        </x14:conditionalFormatting>
        <x14:conditionalFormatting xmlns:xm="http://schemas.microsoft.com/office/excel/2006/main">
          <x14:cfRule type="expression" priority="2" id="{C23E4782-7E16-4B35-BF57-2817C433E61E}">
            <xm:f>IF(STATISTICS!$K$4=FALSE, TRUE, FALSE)</xm:f>
            <x14:dxf>
              <font>
                <strike/>
              </font>
            </x14:dxf>
          </x14:cfRule>
          <xm:sqref>B5:E6 B10:E11 B19:E22</xm:sqref>
        </x14:conditionalFormatting>
      </x14:conditionalFormatting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EB843-E99F-4830-9709-222D3BEC76C3}">
  <dimension ref="A1:F68"/>
  <sheetViews>
    <sheetView workbookViewId="0"/>
  </sheetViews>
  <sheetFormatPr defaultRowHeight="15" x14ac:dyDescent="0.2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x14ac:dyDescent="0.25">
      <c r="A1" s="5" t="s">
        <v>42</v>
      </c>
      <c r="B1" s="5" t="s">
        <v>43</v>
      </c>
      <c r="C1" s="5" t="s">
        <v>44</v>
      </c>
      <c r="D1" s="5" t="s">
        <v>45</v>
      </c>
      <c r="E1" s="5" t="s">
        <v>46</v>
      </c>
      <c r="F1" s="14"/>
    </row>
    <row r="2" spans="1:6" s="6" customFormat="1" ht="60" x14ac:dyDescent="0.25">
      <c r="A2" s="6" t="s">
        <v>750</v>
      </c>
      <c r="B2" s="6" t="s">
        <v>751</v>
      </c>
      <c r="C2" s="7" t="s">
        <v>752</v>
      </c>
      <c r="D2" s="6">
        <v>2</v>
      </c>
    </row>
    <row r="3" spans="1:6" s="6" customFormat="1" ht="45" x14ac:dyDescent="0.25">
      <c r="A3" s="31" t="s">
        <v>753</v>
      </c>
      <c r="B3" s="6" t="s">
        <v>754</v>
      </c>
      <c r="C3" s="7" t="s">
        <v>755</v>
      </c>
      <c r="D3" s="6">
        <v>2</v>
      </c>
    </row>
    <row r="4" spans="1:6" s="6" customFormat="1" ht="75" x14ac:dyDescent="0.25">
      <c r="A4" s="31"/>
      <c r="B4" s="6" t="s">
        <v>756</v>
      </c>
      <c r="C4" s="7" t="s">
        <v>757</v>
      </c>
      <c r="D4" s="6">
        <v>2</v>
      </c>
    </row>
    <row r="5" spans="1:6" s="6" customFormat="1" ht="30" x14ac:dyDescent="0.25">
      <c r="A5" s="31"/>
      <c r="B5" s="6" t="s">
        <v>758</v>
      </c>
      <c r="C5" s="7" t="s">
        <v>759</v>
      </c>
      <c r="D5" s="6">
        <v>2</v>
      </c>
    </row>
    <row r="6" spans="1:6" s="6" customFormat="1" ht="30" x14ac:dyDescent="0.25">
      <c r="A6" s="31"/>
      <c r="B6" s="6" t="s">
        <v>760</v>
      </c>
      <c r="C6" s="7" t="s">
        <v>761</v>
      </c>
      <c r="D6" s="6">
        <v>2</v>
      </c>
    </row>
    <row r="7" spans="1:6" s="6" customFormat="1" ht="75" x14ac:dyDescent="0.25">
      <c r="A7" s="31"/>
      <c r="B7" s="6" t="s">
        <v>762</v>
      </c>
      <c r="C7" s="7" t="s">
        <v>763</v>
      </c>
      <c r="D7" s="6">
        <v>2</v>
      </c>
    </row>
    <row r="8" spans="1:6" s="6" customFormat="1" ht="45" x14ac:dyDescent="0.25">
      <c r="A8" s="31" t="s">
        <v>764</v>
      </c>
      <c r="B8" s="6" t="s">
        <v>765</v>
      </c>
      <c r="C8" s="7" t="s">
        <v>766</v>
      </c>
      <c r="D8" s="6">
        <v>2</v>
      </c>
    </row>
    <row r="9" spans="1:6" s="6" customFormat="1" ht="45" x14ac:dyDescent="0.25">
      <c r="A9" s="31"/>
      <c r="B9" s="6" t="s">
        <v>767</v>
      </c>
      <c r="C9" s="7" t="s">
        <v>768</v>
      </c>
      <c r="D9" s="6">
        <v>2</v>
      </c>
    </row>
    <row r="10" spans="1:6" s="6" customFormat="1" ht="45" x14ac:dyDescent="0.25">
      <c r="A10" s="31"/>
      <c r="B10" s="6" t="s">
        <v>769</v>
      </c>
      <c r="C10" s="7" t="s">
        <v>770</v>
      </c>
      <c r="D10" s="6">
        <v>2</v>
      </c>
    </row>
    <row r="11" spans="1:6" s="6" customFormat="1" ht="30" x14ac:dyDescent="0.25">
      <c r="A11" s="31"/>
      <c r="B11" s="6" t="s">
        <v>771</v>
      </c>
      <c r="C11" s="7" t="s">
        <v>772</v>
      </c>
      <c r="D11" s="6">
        <v>2</v>
      </c>
    </row>
    <row r="12" spans="1:6" s="6" customFormat="1" ht="30" x14ac:dyDescent="0.25">
      <c r="A12" s="31" t="s">
        <v>773</v>
      </c>
      <c r="B12" s="6" t="s">
        <v>774</v>
      </c>
      <c r="C12" s="7" t="s">
        <v>775</v>
      </c>
      <c r="D12" s="6">
        <v>2</v>
      </c>
    </row>
    <row r="13" spans="1:6" s="6" customFormat="1" ht="30" x14ac:dyDescent="0.25">
      <c r="A13" s="31"/>
      <c r="B13" s="6" t="s">
        <v>776</v>
      </c>
      <c r="C13" s="7" t="s">
        <v>777</v>
      </c>
      <c r="D13" s="6">
        <v>2</v>
      </c>
    </row>
    <row r="14" spans="1:6" s="6" customFormat="1" ht="45" x14ac:dyDescent="0.25">
      <c r="A14" s="31"/>
      <c r="B14" s="6" t="s">
        <v>778</v>
      </c>
      <c r="C14" s="7" t="s">
        <v>779</v>
      </c>
      <c r="D14" s="6">
        <v>2</v>
      </c>
    </row>
    <row r="15" spans="1:6" s="6" customFormat="1" ht="60" x14ac:dyDescent="0.25">
      <c r="A15" s="31" t="s">
        <v>780</v>
      </c>
      <c r="B15" s="6" t="s">
        <v>781</v>
      </c>
      <c r="C15" s="7" t="s">
        <v>782</v>
      </c>
      <c r="D15" s="6">
        <v>2</v>
      </c>
    </row>
    <row r="16" spans="1:6" s="6" customFormat="1" ht="45" x14ac:dyDescent="0.25">
      <c r="A16" s="31"/>
      <c r="B16" s="6" t="s">
        <v>783</v>
      </c>
      <c r="C16" s="7" t="s">
        <v>784</v>
      </c>
      <c r="D16" s="6">
        <v>2</v>
      </c>
    </row>
    <row r="17" spans="1:4" s="6" customFormat="1" ht="45" x14ac:dyDescent="0.25">
      <c r="A17" s="31"/>
      <c r="B17" s="6" t="s">
        <v>785</v>
      </c>
      <c r="C17" s="7" t="s">
        <v>786</v>
      </c>
      <c r="D17" s="6">
        <v>2</v>
      </c>
    </row>
    <row r="18" spans="1:4" s="6" customFormat="1" ht="60" x14ac:dyDescent="0.25">
      <c r="A18" s="31"/>
      <c r="B18" s="6" t="s">
        <v>787</v>
      </c>
      <c r="C18" s="7" t="s">
        <v>788</v>
      </c>
      <c r="D18" s="6">
        <v>3</v>
      </c>
    </row>
    <row r="19" spans="1:4" s="6" customFormat="1" x14ac:dyDescent="0.25">
      <c r="A19" s="12"/>
      <c r="C19" s="7"/>
    </row>
    <row r="20" spans="1:4" s="6" customFormat="1" x14ac:dyDescent="0.25">
      <c r="A20" s="12"/>
      <c r="C20" s="7"/>
    </row>
    <row r="21" spans="1:4" s="6" customFormat="1" x14ac:dyDescent="0.25">
      <c r="A21" s="12"/>
      <c r="C21" s="7"/>
    </row>
    <row r="22" spans="1:4" s="6" customFormat="1" x14ac:dyDescent="0.25">
      <c r="A22" s="12"/>
      <c r="C22" s="7"/>
    </row>
    <row r="23" spans="1:4" s="6" customFormat="1" x14ac:dyDescent="0.25">
      <c r="A23" s="12"/>
      <c r="C23" s="7"/>
    </row>
    <row r="24" spans="1:4" s="6" customFormat="1" x14ac:dyDescent="0.25">
      <c r="A24" s="12"/>
      <c r="C24" s="7"/>
    </row>
    <row r="25" spans="1:4" s="6" customFormat="1" x14ac:dyDescent="0.25">
      <c r="A25" s="12"/>
      <c r="C25" s="7"/>
    </row>
    <row r="26" spans="1:4" s="6" customFormat="1" x14ac:dyDescent="0.25">
      <c r="A26" s="12"/>
      <c r="C26" s="7"/>
    </row>
    <row r="27" spans="1:4" s="6" customFormat="1" x14ac:dyDescent="0.25">
      <c r="A27" s="12"/>
      <c r="C27" s="7"/>
    </row>
    <row r="28" spans="1:4" s="6" customFormat="1" x14ac:dyDescent="0.25">
      <c r="A28" s="12"/>
      <c r="C28" s="7"/>
    </row>
    <row r="29" spans="1:4" s="6" customFormat="1" x14ac:dyDescent="0.25">
      <c r="A29" s="12"/>
      <c r="C29" s="7"/>
    </row>
    <row r="30" spans="1:4" s="6" customFormat="1" x14ac:dyDescent="0.25">
      <c r="A30" s="12"/>
      <c r="C30" s="7"/>
    </row>
    <row r="31" spans="1:4" s="6" customFormat="1" x14ac:dyDescent="0.25">
      <c r="A31" s="12"/>
      <c r="C31" s="7"/>
    </row>
    <row r="32" spans="1:4" s="6" customFormat="1" x14ac:dyDescent="0.25">
      <c r="A32" s="12"/>
      <c r="C32" s="7"/>
    </row>
    <row r="33" spans="1:3" s="6" customFormat="1" x14ac:dyDescent="0.25">
      <c r="A33" s="12"/>
      <c r="C33" s="7"/>
    </row>
    <row r="34" spans="1:3" s="6" customFormat="1" x14ac:dyDescent="0.25">
      <c r="A34" s="12"/>
      <c r="C34" s="7"/>
    </row>
    <row r="35" spans="1:3" s="6" customFormat="1" x14ac:dyDescent="0.25">
      <c r="A35" s="12"/>
      <c r="C35" s="7"/>
    </row>
    <row r="36" spans="1:3" s="6" customFormat="1" x14ac:dyDescent="0.25">
      <c r="A36" s="12"/>
      <c r="C36" s="7"/>
    </row>
    <row r="37" spans="1:3" s="6" customFormat="1" x14ac:dyDescent="0.25">
      <c r="A37" s="12"/>
      <c r="C37" s="7"/>
    </row>
    <row r="38" spans="1:3" s="6" customFormat="1" x14ac:dyDescent="0.25">
      <c r="A38" s="12"/>
      <c r="C38" s="7"/>
    </row>
    <row r="39" spans="1:3" s="6" customFormat="1" x14ac:dyDescent="0.25">
      <c r="A39" s="12"/>
      <c r="C39" s="7"/>
    </row>
    <row r="40" spans="1:3" s="6" customFormat="1" x14ac:dyDescent="0.25">
      <c r="A40" s="12"/>
      <c r="C40" s="7"/>
    </row>
    <row r="41" spans="1:3" s="6" customFormat="1" x14ac:dyDescent="0.25">
      <c r="A41" s="12"/>
      <c r="C41" s="7"/>
    </row>
    <row r="42" spans="1:3" s="6" customFormat="1" x14ac:dyDescent="0.25">
      <c r="A42" s="12"/>
      <c r="C42" s="7"/>
    </row>
    <row r="43" spans="1:3" s="6" customFormat="1" x14ac:dyDescent="0.25">
      <c r="A43" s="12"/>
      <c r="C43" s="7"/>
    </row>
    <row r="44" spans="1:3" s="6" customFormat="1" x14ac:dyDescent="0.25">
      <c r="A44" s="12"/>
      <c r="C44" s="7"/>
    </row>
    <row r="45" spans="1:3" s="6" customFormat="1" x14ac:dyDescent="0.25">
      <c r="A45" s="12"/>
      <c r="C45" s="7"/>
    </row>
    <row r="46" spans="1:3" s="6" customFormat="1" x14ac:dyDescent="0.25">
      <c r="A46" s="12"/>
      <c r="C46" s="7"/>
    </row>
    <row r="47" spans="1:3" s="6" customFormat="1" x14ac:dyDescent="0.25">
      <c r="A47" s="12"/>
      <c r="C47" s="7"/>
    </row>
    <row r="48" spans="1:3" s="6" customFormat="1" x14ac:dyDescent="0.25">
      <c r="A48" s="12"/>
      <c r="C48" s="7"/>
    </row>
    <row r="49" spans="1:1" x14ac:dyDescent="0.25">
      <c r="A49" s="15"/>
    </row>
    <row r="50" spans="1:1" x14ac:dyDescent="0.25">
      <c r="A50" s="15"/>
    </row>
    <row r="51" spans="1:1" x14ac:dyDescent="0.25">
      <c r="A51" s="15"/>
    </row>
    <row r="52" spans="1:1" x14ac:dyDescent="0.25">
      <c r="A52" s="15"/>
    </row>
    <row r="53" spans="1:1" x14ac:dyDescent="0.25">
      <c r="A53" s="15"/>
    </row>
    <row r="54" spans="1:1" x14ac:dyDescent="0.25">
      <c r="A54" s="15"/>
    </row>
    <row r="55" spans="1:1" x14ac:dyDescent="0.25">
      <c r="A55" s="15"/>
    </row>
    <row r="56" spans="1:1" x14ac:dyDescent="0.25">
      <c r="A56" s="15"/>
    </row>
    <row r="57" spans="1:1" x14ac:dyDescent="0.25">
      <c r="A57" s="15"/>
    </row>
    <row r="58" spans="1:1" x14ac:dyDescent="0.25">
      <c r="A58" s="15"/>
    </row>
    <row r="59" spans="1:1" x14ac:dyDescent="0.25">
      <c r="A59" s="15"/>
    </row>
    <row r="60" spans="1:1" x14ac:dyDescent="0.25">
      <c r="A60" s="15"/>
    </row>
    <row r="61" spans="1:1" x14ac:dyDescent="0.25">
      <c r="A61" s="15"/>
    </row>
    <row r="62" spans="1:1" x14ac:dyDescent="0.25">
      <c r="A62" s="15"/>
    </row>
    <row r="63" spans="1:1" x14ac:dyDescent="0.25">
      <c r="A63" s="15"/>
    </row>
    <row r="64" spans="1:1" x14ac:dyDescent="0.25">
      <c r="A64" s="15"/>
    </row>
    <row r="65" spans="1:1" x14ac:dyDescent="0.25">
      <c r="A65" s="15"/>
    </row>
    <row r="66" spans="1:1" x14ac:dyDescent="0.25">
      <c r="A66" s="15"/>
    </row>
    <row r="67" spans="1:1" x14ac:dyDescent="0.25">
      <c r="A67" s="15"/>
    </row>
    <row r="68" spans="1:1" x14ac:dyDescent="0.25">
      <c r="A68" s="15"/>
    </row>
  </sheetData>
  <mergeCells count="4">
    <mergeCell ref="A12:A14"/>
    <mergeCell ref="A15:A18"/>
    <mergeCell ref="A3:A7"/>
    <mergeCell ref="A8:A11"/>
  </mergeCells>
  <dataValidations count="1">
    <dataValidation type="list" allowBlank="1" showInputMessage="1" showErrorMessage="1" sqref="E2:E18" xr:uid="{0A4CBAB0-A462-4212-A3B9-A64B649BE4DC}">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40" id="{243F1616-2844-405D-83FF-3258AE39CE35}">
            <xm:f>IF(STATISTICS!$J$4=FALSE, TRUE, FALSE)</xm:f>
            <x14:dxf>
              <font>
                <strike/>
              </font>
            </x14:dxf>
          </x14:cfRule>
          <xm:sqref>B2:E17</xm:sqref>
        </x14:conditionalFormatting>
        <x14:conditionalFormatting xmlns:xm="http://schemas.microsoft.com/office/excel/2006/main">
          <x14:cfRule type="expression" priority="141" id="{D71DA45B-8508-4993-8D9D-866B366EF569}">
            <xm:f>IF(STATISTICS!$K$4=FALSE, TRUE, FALSE)</xm:f>
            <x14:dxf>
              <font>
                <strike/>
              </font>
            </x14:dxf>
          </x14:cfRule>
          <xm:sqref>B18:E18</xm:sqref>
        </x14:conditionalFormatting>
      </x14:conditionalFormatting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C3596-F421-4CB5-8D1E-643525CD2411}">
  <dimension ref="A1:F68"/>
  <sheetViews>
    <sheetView workbookViewId="0"/>
  </sheetViews>
  <sheetFormatPr defaultRowHeight="15" x14ac:dyDescent="0.25"/>
  <cols>
    <col min="1" max="1" width="31.140625" style="13" customWidth="1"/>
    <col min="2" max="2" width="21.85546875" style="13" customWidth="1"/>
    <col min="3" max="3" width="69.85546875" style="13" customWidth="1"/>
    <col min="4" max="4" width="13.7109375" style="13" customWidth="1"/>
    <col min="5" max="5" width="19.7109375" style="13" customWidth="1"/>
    <col min="6" max="16384" width="9.140625" style="13"/>
  </cols>
  <sheetData>
    <row r="1" spans="1:6" s="6" customFormat="1" ht="33.75" customHeight="1" x14ac:dyDescent="0.25">
      <c r="A1" s="5" t="s">
        <v>42</v>
      </c>
      <c r="B1" s="5" t="s">
        <v>43</v>
      </c>
      <c r="C1" s="5" t="s">
        <v>44</v>
      </c>
      <c r="D1" s="5" t="s">
        <v>45</v>
      </c>
      <c r="E1" s="5" t="s">
        <v>46</v>
      </c>
      <c r="F1" s="14"/>
    </row>
    <row r="2" spans="1:6" s="6" customFormat="1" ht="60" x14ac:dyDescent="0.25">
      <c r="A2" s="31" t="s">
        <v>789</v>
      </c>
      <c r="B2" s="6" t="s">
        <v>790</v>
      </c>
      <c r="C2" s="7" t="s">
        <v>791</v>
      </c>
      <c r="D2" s="6">
        <v>2</v>
      </c>
    </row>
    <row r="3" spans="1:6" s="6" customFormat="1" ht="45" x14ac:dyDescent="0.25">
      <c r="A3" s="31"/>
      <c r="B3" s="6" t="s">
        <v>792</v>
      </c>
      <c r="C3" s="7" t="s">
        <v>793</v>
      </c>
      <c r="D3" s="6">
        <v>3</v>
      </c>
    </row>
    <row r="4" spans="1:6" s="6" customFormat="1" ht="45" x14ac:dyDescent="0.25">
      <c r="A4" s="31" t="s">
        <v>794</v>
      </c>
      <c r="B4" s="6" t="s">
        <v>795</v>
      </c>
      <c r="C4" s="7" t="s">
        <v>796</v>
      </c>
      <c r="D4" s="6">
        <v>2</v>
      </c>
    </row>
    <row r="5" spans="1:6" s="6" customFormat="1" ht="60" x14ac:dyDescent="0.25">
      <c r="A5" s="31"/>
      <c r="B5" s="6" t="s">
        <v>797</v>
      </c>
      <c r="C5" s="7" t="s">
        <v>798</v>
      </c>
      <c r="D5" s="6">
        <v>2</v>
      </c>
    </row>
    <row r="6" spans="1:6" s="6" customFormat="1" ht="60" x14ac:dyDescent="0.25">
      <c r="A6" s="31"/>
      <c r="B6" s="6" t="s">
        <v>799</v>
      </c>
      <c r="C6" s="7" t="s">
        <v>800</v>
      </c>
      <c r="D6" s="6">
        <v>2</v>
      </c>
    </row>
    <row r="7" spans="1:6" s="6" customFormat="1" ht="45" x14ac:dyDescent="0.25">
      <c r="A7" s="31"/>
      <c r="B7" s="6" t="s">
        <v>801</v>
      </c>
      <c r="C7" s="7" t="s">
        <v>802</v>
      </c>
      <c r="D7" s="6">
        <v>2</v>
      </c>
    </row>
    <row r="8" spans="1:6" s="6" customFormat="1" ht="45" x14ac:dyDescent="0.25">
      <c r="A8" s="31"/>
      <c r="B8" s="6" t="s">
        <v>803</v>
      </c>
      <c r="C8" s="7" t="s">
        <v>804</v>
      </c>
      <c r="D8" s="6">
        <v>3</v>
      </c>
    </row>
    <row r="9" spans="1:6" s="6" customFormat="1" ht="60" x14ac:dyDescent="0.25">
      <c r="A9" s="31"/>
      <c r="B9" s="6" t="s">
        <v>805</v>
      </c>
      <c r="C9" s="7" t="s">
        <v>806</v>
      </c>
      <c r="D9" s="6">
        <v>3</v>
      </c>
    </row>
    <row r="10" spans="1:6" s="6" customFormat="1" ht="60" x14ac:dyDescent="0.25">
      <c r="A10" s="31"/>
      <c r="B10" s="6" t="s">
        <v>807</v>
      </c>
      <c r="C10" s="7" t="s">
        <v>808</v>
      </c>
      <c r="D10" s="6">
        <v>3</v>
      </c>
    </row>
    <row r="11" spans="1:6" s="6" customFormat="1" ht="60" x14ac:dyDescent="0.25">
      <c r="A11" s="31"/>
      <c r="B11" s="6" t="s">
        <v>809</v>
      </c>
      <c r="C11" s="7" t="s">
        <v>810</v>
      </c>
      <c r="D11" s="6">
        <v>3</v>
      </c>
    </row>
    <row r="12" spans="1:6" s="6" customFormat="1" ht="45" x14ac:dyDescent="0.25">
      <c r="A12" s="31" t="s">
        <v>811</v>
      </c>
      <c r="B12" s="6" t="s">
        <v>812</v>
      </c>
      <c r="C12" s="7" t="s">
        <v>813</v>
      </c>
      <c r="D12" s="6">
        <v>2</v>
      </c>
    </row>
    <row r="13" spans="1:6" s="6" customFormat="1" ht="75" x14ac:dyDescent="0.25">
      <c r="A13" s="31"/>
      <c r="B13" s="6" t="s">
        <v>814</v>
      </c>
      <c r="C13" s="7" t="s">
        <v>815</v>
      </c>
      <c r="D13" s="6">
        <v>2</v>
      </c>
    </row>
    <row r="14" spans="1:6" s="6" customFormat="1" x14ac:dyDescent="0.25">
      <c r="A14" s="12"/>
      <c r="C14" s="7"/>
    </row>
    <row r="15" spans="1:6" s="6" customFormat="1" x14ac:dyDescent="0.25">
      <c r="A15" s="12"/>
      <c r="C15" s="7"/>
    </row>
    <row r="16" spans="1:6" s="6" customFormat="1" x14ac:dyDescent="0.25">
      <c r="A16" s="12"/>
      <c r="C16" s="7"/>
    </row>
    <row r="17" spans="1:3" s="6" customFormat="1" x14ac:dyDescent="0.25">
      <c r="A17" s="12"/>
      <c r="C17" s="7"/>
    </row>
    <row r="18" spans="1:3" s="6" customFormat="1" x14ac:dyDescent="0.25">
      <c r="A18" s="12"/>
      <c r="C18" s="7"/>
    </row>
    <row r="19" spans="1:3" s="6" customFormat="1" x14ac:dyDescent="0.25">
      <c r="A19" s="12"/>
      <c r="C19" s="7"/>
    </row>
    <row r="20" spans="1:3" s="6" customFormat="1" x14ac:dyDescent="0.25">
      <c r="A20" s="12"/>
      <c r="C20" s="7"/>
    </row>
    <row r="21" spans="1:3" s="6" customFormat="1" x14ac:dyDescent="0.25">
      <c r="A21" s="12"/>
      <c r="C21" s="7"/>
    </row>
    <row r="22" spans="1:3" s="6" customFormat="1" x14ac:dyDescent="0.25">
      <c r="A22" s="12"/>
      <c r="C22" s="7"/>
    </row>
    <row r="23" spans="1:3" s="6" customFormat="1" x14ac:dyDescent="0.25">
      <c r="A23" s="12"/>
      <c r="C23" s="7"/>
    </row>
    <row r="24" spans="1:3" s="6" customFormat="1" x14ac:dyDescent="0.25">
      <c r="A24" s="12"/>
      <c r="C24" s="7"/>
    </row>
    <row r="25" spans="1:3" s="6" customFormat="1" x14ac:dyDescent="0.25">
      <c r="A25" s="12"/>
      <c r="C25" s="7"/>
    </row>
    <row r="26" spans="1:3" s="6" customFormat="1" x14ac:dyDescent="0.25">
      <c r="A26" s="12"/>
      <c r="C26" s="7"/>
    </row>
    <row r="27" spans="1:3" s="6" customFormat="1" x14ac:dyDescent="0.25">
      <c r="A27" s="12"/>
      <c r="C27" s="7"/>
    </row>
    <row r="28" spans="1:3" s="6" customFormat="1" x14ac:dyDescent="0.25">
      <c r="A28" s="12"/>
      <c r="C28" s="7"/>
    </row>
    <row r="29" spans="1:3" s="6" customFormat="1" x14ac:dyDescent="0.25">
      <c r="A29" s="12"/>
      <c r="C29" s="7"/>
    </row>
    <row r="30" spans="1:3" s="6" customFormat="1" x14ac:dyDescent="0.25">
      <c r="A30" s="12"/>
      <c r="C30" s="7"/>
    </row>
    <row r="31" spans="1:3" s="6" customFormat="1" x14ac:dyDescent="0.25">
      <c r="A31" s="12"/>
      <c r="C31" s="7"/>
    </row>
    <row r="32" spans="1:3" s="6" customFormat="1" x14ac:dyDescent="0.25">
      <c r="A32" s="12"/>
      <c r="C32" s="7"/>
    </row>
    <row r="33" spans="1:3" s="6" customFormat="1" x14ac:dyDescent="0.25">
      <c r="A33" s="12"/>
      <c r="C33" s="7"/>
    </row>
    <row r="34" spans="1:3" s="6" customFormat="1" x14ac:dyDescent="0.25">
      <c r="A34" s="12"/>
      <c r="C34" s="7"/>
    </row>
    <row r="35" spans="1:3" s="6" customFormat="1" x14ac:dyDescent="0.25">
      <c r="A35" s="12"/>
      <c r="C35" s="7"/>
    </row>
    <row r="36" spans="1:3" s="6" customFormat="1" x14ac:dyDescent="0.25">
      <c r="A36" s="12"/>
      <c r="C36" s="7"/>
    </row>
    <row r="37" spans="1:3" s="6" customFormat="1" x14ac:dyDescent="0.25">
      <c r="A37" s="12"/>
      <c r="C37" s="7"/>
    </row>
    <row r="38" spans="1:3" s="6" customFormat="1" x14ac:dyDescent="0.25">
      <c r="A38" s="12"/>
      <c r="C38" s="7"/>
    </row>
    <row r="39" spans="1:3" s="6" customFormat="1" x14ac:dyDescent="0.25">
      <c r="A39" s="12"/>
      <c r="C39" s="7"/>
    </row>
    <row r="40" spans="1:3" s="6" customFormat="1" x14ac:dyDescent="0.25">
      <c r="A40" s="12"/>
      <c r="C40" s="7"/>
    </row>
    <row r="41" spans="1:3" s="6" customFormat="1" x14ac:dyDescent="0.25">
      <c r="A41" s="12"/>
      <c r="C41" s="7"/>
    </row>
    <row r="42" spans="1:3" s="6" customFormat="1" x14ac:dyDescent="0.25">
      <c r="A42" s="12"/>
      <c r="C42" s="7"/>
    </row>
    <row r="43" spans="1:3" s="6" customFormat="1" x14ac:dyDescent="0.25">
      <c r="A43" s="12"/>
      <c r="C43" s="7"/>
    </row>
    <row r="44" spans="1:3" s="6" customFormat="1" x14ac:dyDescent="0.25">
      <c r="A44" s="12"/>
      <c r="C44" s="7"/>
    </row>
    <row r="45" spans="1:3" s="6" customFormat="1" x14ac:dyDescent="0.25">
      <c r="A45" s="12"/>
      <c r="C45" s="7"/>
    </row>
    <row r="46" spans="1:3" s="6" customFormat="1" x14ac:dyDescent="0.25">
      <c r="A46" s="12"/>
      <c r="C46" s="7"/>
    </row>
    <row r="47" spans="1:3" s="6" customFormat="1" x14ac:dyDescent="0.25">
      <c r="A47" s="12"/>
      <c r="C47" s="7"/>
    </row>
    <row r="48" spans="1:3" s="6" customFormat="1" x14ac:dyDescent="0.25">
      <c r="A48" s="12"/>
      <c r="C48" s="7"/>
    </row>
    <row r="49" spans="1:1" x14ac:dyDescent="0.25">
      <c r="A49" s="15"/>
    </row>
    <row r="50" spans="1:1" x14ac:dyDescent="0.25">
      <c r="A50" s="15"/>
    </row>
    <row r="51" spans="1:1" x14ac:dyDescent="0.25">
      <c r="A51" s="15"/>
    </row>
    <row r="52" spans="1:1" x14ac:dyDescent="0.25">
      <c r="A52" s="15"/>
    </row>
    <row r="53" spans="1:1" x14ac:dyDescent="0.25">
      <c r="A53" s="15"/>
    </row>
    <row r="54" spans="1:1" x14ac:dyDescent="0.25">
      <c r="A54" s="15"/>
    </row>
    <row r="55" spans="1:1" x14ac:dyDescent="0.25">
      <c r="A55" s="15"/>
    </row>
    <row r="56" spans="1:1" x14ac:dyDescent="0.25">
      <c r="A56" s="15"/>
    </row>
    <row r="57" spans="1:1" x14ac:dyDescent="0.25">
      <c r="A57" s="15"/>
    </row>
    <row r="58" spans="1:1" x14ac:dyDescent="0.25">
      <c r="A58" s="15"/>
    </row>
    <row r="59" spans="1:1" x14ac:dyDescent="0.25">
      <c r="A59" s="15"/>
    </row>
    <row r="60" spans="1:1" x14ac:dyDescent="0.25">
      <c r="A60" s="15"/>
    </row>
    <row r="61" spans="1:1" x14ac:dyDescent="0.25">
      <c r="A61" s="15"/>
    </row>
    <row r="62" spans="1:1" x14ac:dyDescent="0.25">
      <c r="A62" s="15"/>
    </row>
    <row r="63" spans="1:1" x14ac:dyDescent="0.25">
      <c r="A63" s="15"/>
    </row>
    <row r="64" spans="1:1" x14ac:dyDescent="0.25">
      <c r="A64" s="15"/>
    </row>
    <row r="65" spans="1:1" x14ac:dyDescent="0.25">
      <c r="A65" s="15"/>
    </row>
    <row r="66" spans="1:1" x14ac:dyDescent="0.25">
      <c r="A66" s="15"/>
    </row>
    <row r="67" spans="1:1" x14ac:dyDescent="0.25">
      <c r="A67" s="15"/>
    </row>
    <row r="68" spans="1:1" x14ac:dyDescent="0.25">
      <c r="A68" s="15"/>
    </row>
  </sheetData>
  <mergeCells count="3">
    <mergeCell ref="A2:A3"/>
    <mergeCell ref="A4:A11"/>
    <mergeCell ref="A12:A13"/>
  </mergeCells>
  <dataValidations count="1">
    <dataValidation type="list" allowBlank="1" showInputMessage="1" showErrorMessage="1" sqref="E2:E13" xr:uid="{296A77AF-4ABF-40E4-87CE-DDCE36767FD5}">
      <formula1>"Fail, Pass, N/A"</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42" id="{5F2E8F72-4BE0-4C74-B38C-6D42173C1A5A}">
            <xm:f>IF(STATISTICS!$J$4=FALSE, TRUE, FALSE)</xm:f>
            <x14:dxf>
              <font>
                <strike/>
              </font>
            </x14:dxf>
          </x14:cfRule>
          <xm:sqref>B2:E2 B4:E7 B12:E13</xm:sqref>
        </x14:conditionalFormatting>
        <x14:conditionalFormatting xmlns:xm="http://schemas.microsoft.com/office/excel/2006/main">
          <x14:cfRule type="expression" priority="145" id="{1FADDD5E-6828-4BA7-80CE-98D77B50B161}">
            <xm:f>IF(STATISTICS!$K$4=FALSE, TRUE, FALSE)</xm:f>
            <x14:dxf>
              <font>
                <strike/>
              </font>
            </x14:dxf>
          </x14:cfRule>
          <xm:sqref>B3:E3 B8:E11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0C726-1C8C-466C-8894-618943864D56}">
  <dimension ref="B2:C6"/>
  <sheetViews>
    <sheetView workbookViewId="0">
      <selection activeCell="E51" sqref="E51"/>
    </sheetView>
  </sheetViews>
  <sheetFormatPr defaultRowHeight="15" x14ac:dyDescent="0.25"/>
  <cols>
    <col min="2" max="2" width="16.42578125" customWidth="1"/>
    <col min="3" max="3" width="26.42578125" customWidth="1"/>
  </cols>
  <sheetData>
    <row r="2" spans="2:3" ht="27" customHeight="1" x14ac:dyDescent="0.25">
      <c r="B2" s="33" t="s">
        <v>816</v>
      </c>
      <c r="C2" s="34" t="s">
        <v>817</v>
      </c>
    </row>
    <row r="3" spans="2:3" ht="27" customHeight="1" x14ac:dyDescent="0.25">
      <c r="B3" s="33" t="s">
        <v>818</v>
      </c>
      <c r="C3" s="34" t="s">
        <v>819</v>
      </c>
    </row>
    <row r="4" spans="2:3" ht="27" customHeight="1" x14ac:dyDescent="0.25">
      <c r="B4" s="33" t="s">
        <v>820</v>
      </c>
      <c r="C4" s="34" t="s">
        <v>821</v>
      </c>
    </row>
    <row r="5" spans="2:3" ht="27" customHeight="1" x14ac:dyDescent="0.25">
      <c r="B5" s="33" t="s">
        <v>822</v>
      </c>
      <c r="C5" s="35">
        <v>46081</v>
      </c>
    </row>
    <row r="6" spans="2:3" ht="27" customHeight="1" x14ac:dyDescent="0.25">
      <c r="B6" s="33" t="s">
        <v>823</v>
      </c>
      <c r="C6" s="34" t="s">
        <v>824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Arkusze</vt:lpstr>
      </vt:variant>
      <vt:variant>
        <vt:i4>19</vt:i4>
      </vt:variant>
    </vt:vector>
  </HeadingPairs>
  <TitlesOfParts>
    <vt:vector size="19" baseType="lpstr">
      <vt:lpstr>STATISTICS</vt:lpstr>
      <vt:lpstr>V1. Encoding and Sanitization</vt:lpstr>
      <vt:lpstr>V2. Validation and Business Log</vt:lpstr>
      <vt:lpstr>V3. Web Frontend Security</vt:lpstr>
      <vt:lpstr>V4. API and Web Service</vt:lpstr>
      <vt:lpstr>V5. File Handling</vt:lpstr>
      <vt:lpstr>V6. Authentication</vt:lpstr>
      <vt:lpstr>V7. Session Management</vt:lpstr>
      <vt:lpstr>V8. Authorization</vt:lpstr>
      <vt:lpstr>V9. Self-contained Tokens</vt:lpstr>
      <vt:lpstr>V10. OAuth and OIDC</vt:lpstr>
      <vt:lpstr>V11. Cryptography</vt:lpstr>
      <vt:lpstr>V12. Secure Communication</vt:lpstr>
      <vt:lpstr>V13. Configuration</vt:lpstr>
      <vt:lpstr>V14. Data Protection</vt:lpstr>
      <vt:lpstr>V15. Secure Coding and Architec</vt:lpstr>
      <vt:lpstr>V16. Security Logging and Error</vt:lpstr>
      <vt:lpstr>V17. WebRTC</vt:lpstr>
      <vt:lpstr>About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Mikołaj Kozok</cp:lastModifiedBy>
  <cp:revision/>
  <dcterms:created xsi:type="dcterms:W3CDTF">2025-09-30T09:24:06Z</dcterms:created>
  <dcterms:modified xsi:type="dcterms:W3CDTF">2026-02-28T00:15:32Z</dcterms:modified>
  <cp:category/>
  <cp:contentStatus/>
</cp:coreProperties>
</file>